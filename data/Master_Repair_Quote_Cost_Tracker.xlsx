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21team.sharepoint.com/sites/121Team/Shared Documents/Sales/Masters/"/>
    </mc:Choice>
  </mc:AlternateContent>
  <xr:revisionPtr revIDLastSave="229" documentId="13_ncr:1_{C9DAAD03-29AB-494A-8D23-33DEF3F336BB}" xr6:coauthVersionLast="47" xr6:coauthVersionMax="47" xr10:uidLastSave="{CA0A55FE-AD64-47EB-88CD-52FA4256B090}"/>
  <bookViews>
    <workbookView xWindow="-110" yWindow="-110" windowWidth="38620" windowHeight="21100" activeTab="1" xr2:uid="{00000000-000D-0000-FFFF-FFFF00000000}"/>
  </bookViews>
  <sheets>
    <sheet name="Example" sheetId="1" r:id="rId1"/>
    <sheet name="Cost" sheetId="2" r:id="rId2"/>
  </sheets>
  <definedNames>
    <definedName name="_xlnm.Print_Area" localSheetId="1">Cost!$B$1:$L$87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8" i="2" l="1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57" i="2"/>
  <c r="L40" i="2" l="1"/>
  <c r="F41" i="2"/>
  <c r="K40" i="2"/>
  <c r="J40" i="2"/>
  <c r="L61" i="2" l="1"/>
  <c r="L62" i="2"/>
  <c r="L63" i="2"/>
  <c r="K23" i="2"/>
  <c r="K87" i="2"/>
  <c r="K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0" i="2"/>
  <c r="L59" i="2"/>
  <c r="L58" i="2"/>
  <c r="L57" i="2"/>
  <c r="H43" i="2"/>
  <c r="F43" i="2"/>
  <c r="K42" i="2"/>
  <c r="J42" i="2"/>
  <c r="H41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J23" i="2"/>
  <c r="K22" i="2"/>
  <c r="J22" i="2"/>
  <c r="K21" i="2"/>
  <c r="J21" i="2"/>
  <c r="K20" i="2"/>
  <c r="J20" i="2"/>
  <c r="K19" i="2"/>
  <c r="J19" i="2"/>
  <c r="K18" i="2"/>
  <c r="J18" i="2"/>
  <c r="K14" i="2"/>
  <c r="H42" i="1"/>
  <c r="F42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H40" i="1"/>
  <c r="F40" i="1"/>
  <c r="L56" i="1"/>
  <c r="K84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18" i="1"/>
  <c r="K42" i="1" s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8" i="1"/>
  <c r="J42" i="1" s="1"/>
  <c r="K14" i="1"/>
  <c r="J41" i="1"/>
  <c r="K86" i="1"/>
  <c r="K43" i="2" l="1"/>
  <c r="L21" i="2"/>
  <c r="L29" i="2"/>
  <c r="L85" i="2"/>
  <c r="G16" i="2" s="1"/>
  <c r="I16" i="2" s="1"/>
  <c r="L37" i="2"/>
  <c r="L38" i="2"/>
  <c r="L23" i="2"/>
  <c r="L39" i="2"/>
  <c r="L31" i="2"/>
  <c r="L20" i="2"/>
  <c r="L28" i="2"/>
  <c r="L36" i="2"/>
  <c r="L42" i="2"/>
  <c r="L25" i="2"/>
  <c r="L18" i="2"/>
  <c r="L22" i="2"/>
  <c r="L26" i="2"/>
  <c r="L30" i="2"/>
  <c r="L34" i="2"/>
  <c r="L33" i="2"/>
  <c r="J43" i="2"/>
  <c r="L24" i="2"/>
  <c r="L32" i="2"/>
  <c r="L19" i="2"/>
  <c r="L27" i="2"/>
  <c r="L35" i="2"/>
  <c r="L35" i="1"/>
  <c r="L34" i="1"/>
  <c r="L26" i="1"/>
  <c r="L27" i="1"/>
  <c r="L19" i="1"/>
  <c r="L20" i="1"/>
  <c r="L28" i="1"/>
  <c r="L36" i="1"/>
  <c r="L18" i="1"/>
  <c r="L21" i="1"/>
  <c r="L29" i="1"/>
  <c r="L37" i="1"/>
  <c r="L22" i="1"/>
  <c r="L30" i="1"/>
  <c r="L38" i="1"/>
  <c r="L23" i="1"/>
  <c r="L31" i="1"/>
  <c r="L39" i="1"/>
  <c r="L24" i="1"/>
  <c r="L32" i="1"/>
  <c r="L41" i="1"/>
  <c r="L25" i="1"/>
  <c r="L33" i="1"/>
  <c r="L84" i="1"/>
  <c r="G16" i="1" s="1"/>
  <c r="K44" i="2" l="1"/>
  <c r="K46" i="2" s="1"/>
  <c r="K48" i="2" s="1"/>
  <c r="L43" i="2"/>
  <c r="K16" i="2"/>
  <c r="K16" i="1"/>
  <c r="L42" i="1"/>
  <c r="K43" i="1"/>
  <c r="I16" i="1" l="1"/>
  <c r="K45" i="1"/>
  <c r="K47" i="1" s="1"/>
</calcChain>
</file>

<file path=xl/sharedStrings.xml><?xml version="1.0" encoding="utf-8"?>
<sst xmlns="http://schemas.openxmlformats.org/spreadsheetml/2006/main" count="128" uniqueCount="65">
  <si>
    <t>Date</t>
  </si>
  <si>
    <t>Supplier</t>
  </si>
  <si>
    <t>Total Order Value</t>
  </si>
  <si>
    <t>Total Purchases &amp; Hourly Costings</t>
  </si>
  <si>
    <t>Customer</t>
  </si>
  <si>
    <t>Description</t>
  </si>
  <si>
    <t>Total Purchase (B/Out) Costs (listing below)</t>
  </si>
  <si>
    <t xml:space="preserve">Comments - </t>
  </si>
  <si>
    <t>(% of B/O to Sales)</t>
  </si>
  <si>
    <t>Overall Profit % on Order</t>
  </si>
  <si>
    <t>Total Profit / Loss</t>
  </si>
  <si>
    <t>Total External Hours</t>
  </si>
  <si>
    <t>Works Order Total</t>
  </si>
  <si>
    <t>Purchases - Services &amp; Brought Out Costs</t>
  </si>
  <si>
    <t>Sales Order Profitability</t>
  </si>
  <si>
    <t>Total Purchases &amp; Costs</t>
  </si>
  <si>
    <t>Quote Number</t>
  </si>
  <si>
    <t>Project Management Total Hours</t>
  </si>
  <si>
    <t>Quote Date</t>
  </si>
  <si>
    <t>Works Order Number</t>
  </si>
  <si>
    <t>CMM Total Hours</t>
  </si>
  <si>
    <t>Standard Hrly Rate</t>
  </si>
  <si>
    <t>O/T Hourly Rate</t>
  </si>
  <si>
    <t>Conventional Machining</t>
  </si>
  <si>
    <t>CNC Machining</t>
  </si>
  <si>
    <t>Concept Design Total Hours</t>
  </si>
  <si>
    <t>Detail Design Total Hours</t>
  </si>
  <si>
    <t>FEMA Analysis Total Hours</t>
  </si>
  <si>
    <t>Milling Total Hours</t>
  </si>
  <si>
    <t>Grinding Total Hours</t>
  </si>
  <si>
    <t>Turning Total Hours</t>
  </si>
  <si>
    <t>Drilling Total Hours</t>
  </si>
  <si>
    <t>Boring Total Hours</t>
  </si>
  <si>
    <t>5 Axis Milling Total Hours</t>
  </si>
  <si>
    <t>NC Programming Total Hours</t>
  </si>
  <si>
    <t>EDM Total Hours</t>
  </si>
  <si>
    <t>5 Axis Drilling Total Hours</t>
  </si>
  <si>
    <t>Fitting / Assembly Total Hours</t>
  </si>
  <si>
    <t>Fabrication Total Hours</t>
  </si>
  <si>
    <t>Manual Inspection Total Hours</t>
  </si>
  <si>
    <t>Inspection Total Hours</t>
  </si>
  <si>
    <t>Testing Total Hours</t>
  </si>
  <si>
    <t>External Total Hours</t>
  </si>
  <si>
    <t>Standard Total</t>
  </si>
  <si>
    <t>O/T Total</t>
  </si>
  <si>
    <t>O/T Hours</t>
  </si>
  <si>
    <t>Standard Hours</t>
  </si>
  <si>
    <t>Invoice No.</t>
  </si>
  <si>
    <t>Site</t>
  </si>
  <si>
    <t>Washington</t>
  </si>
  <si>
    <t>Rolls Royce</t>
  </si>
  <si>
    <t>Purchase Amount</t>
  </si>
  <si>
    <t>Quantity</t>
  </si>
  <si>
    <t>Sales Value</t>
  </si>
  <si>
    <t>Total Hours</t>
  </si>
  <si>
    <t>(% of Hrs to Total)</t>
  </si>
  <si>
    <t>(% of Hrs to Final Total)</t>
  </si>
  <si>
    <t>From Quote Register</t>
  </si>
  <si>
    <t>RRTXXXXXX Fixture Repair</t>
  </si>
  <si>
    <t>Team Transport</t>
  </si>
  <si>
    <t>Cost (Each)</t>
  </si>
  <si>
    <t>Total Cost</t>
  </si>
  <si>
    <t>Rags</t>
  </si>
  <si>
    <t>Oil</t>
  </si>
  <si>
    <t>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</si>
</sst>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3" formatCode="_-* #,##0.00_-;\-* #,##0.00_-;_-* &quot;-&quot;??_-;_-@_-"/>
    <numFmt numFmtId="164" formatCode="&quot;£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6">
    <xf numFmtId="0" fontId="0" fillId="0" borderId="0" xfId="0"/>
    <xf numFmtId="43" fontId="0" fillId="0" borderId="0" xfId="1" applyFont="1" applyFill="1" applyBorder="1"/>
    <xf numFmtId="0" fontId="0" fillId="0" borderId="0" xfId="0" applyAlignment="1">
      <alignment horizontal="left"/>
    </xf>
    <xf numFmtId="43" fontId="0" fillId="0" borderId="0" xfId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0" fillId="2" borderId="3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8" fontId="0" fillId="2" borderId="3" xfId="0" quotePrefix="1" applyNumberFormat="1" applyFill="1" applyBorder="1" applyAlignment="1">
      <alignment horizontal="center"/>
    </xf>
    <xf numFmtId="17" fontId="0" fillId="0" borderId="3" xfId="0" applyNumberFormat="1" applyBorder="1"/>
    <xf numFmtId="0" fontId="0" fillId="0" borderId="3" xfId="1" applyNumberFormat="1" applyFont="1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center" vertical="center"/>
    </xf>
    <xf numFmtId="0" fontId="11" fillId="0" borderId="3" xfId="1" applyNumberFormat="1" applyFont="1" applyFill="1" applyBorder="1" applyAlignment="1">
      <alignment horizontal="center" vertical="center"/>
    </xf>
    <xf numFmtId="164" fontId="11" fillId="2" borderId="3" xfId="1" applyNumberFormat="1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2" fillId="0" borderId="3" xfId="1" quotePrefix="1" applyNumberFormat="1" applyFont="1" applyFill="1" applyBorder="1" applyAlignment="1">
      <alignment horizontal="center" vertical="center"/>
    </xf>
    <xf numFmtId="164" fontId="13" fillId="2" borderId="3" xfId="1" applyNumberFormat="1" applyFont="1" applyFill="1" applyBorder="1" applyAlignment="1">
      <alignment horizontal="center" vertical="center"/>
    </xf>
    <xf numFmtId="0" fontId="10" fillId="0" borderId="3" xfId="1" applyNumberFormat="1" applyFont="1" applyFill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1" applyNumberFormat="1" applyFont="1" applyFill="1" applyBorder="1" applyAlignment="1">
      <alignment horizontal="center" vertical="center"/>
    </xf>
    <xf numFmtId="164" fontId="0" fillId="2" borderId="14" xfId="1" applyNumberFormat="1" applyFont="1" applyFill="1" applyBorder="1" applyAlignment="1">
      <alignment horizontal="center" vertical="center"/>
    </xf>
    <xf numFmtId="164" fontId="0" fillId="0" borderId="15" xfId="0" applyNumberFormat="1" applyBorder="1" applyAlignment="1">
      <alignment horizontal="center"/>
    </xf>
    <xf numFmtId="164" fontId="8" fillId="0" borderId="3" xfId="1" applyNumberFormat="1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9" fontId="3" fillId="0" borderId="3" xfId="2" applyFont="1" applyFill="1" applyBorder="1" applyAlignment="1">
      <alignment horizontal="center" vertical="center"/>
    </xf>
    <xf numFmtId="9" fontId="3" fillId="0" borderId="3" xfId="2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8" fillId="0" borderId="11" xfId="0" applyFont="1" applyBorder="1"/>
    <xf numFmtId="0" fontId="5" fillId="0" borderId="3" xfId="0" applyFont="1" applyBorder="1" applyAlignment="1">
      <alignment horizontal="center"/>
    </xf>
    <xf numFmtId="43" fontId="15" fillId="0" borderId="12" xfId="0" applyNumberFormat="1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9" fontId="8" fillId="0" borderId="12" xfId="2" applyFont="1" applyBorder="1" applyAlignment="1">
      <alignment horizontal="center" vertical="center"/>
    </xf>
    <xf numFmtId="164" fontId="8" fillId="0" borderId="3" xfId="2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4" fontId="8" fillId="0" borderId="29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9" fontId="3" fillId="0" borderId="29" xfId="2" applyFont="1" applyFill="1" applyBorder="1" applyAlignment="1">
      <alignment horizontal="center" vertical="center"/>
    </xf>
    <xf numFmtId="9" fontId="3" fillId="0" borderId="29" xfId="2" applyFont="1" applyBorder="1" applyAlignment="1">
      <alignment horizontal="center" vertical="center"/>
    </xf>
    <xf numFmtId="0" fontId="0" fillId="0" borderId="30" xfId="0" applyBorder="1" applyAlignment="1">
      <alignment horizontal="left"/>
    </xf>
    <xf numFmtId="0" fontId="8" fillId="4" borderId="32" xfId="0" applyFont="1" applyFill="1" applyBorder="1" applyAlignment="1">
      <alignment horizontal="center" vertical="center"/>
    </xf>
    <xf numFmtId="164" fontId="8" fillId="4" borderId="32" xfId="0" applyNumberFormat="1" applyFont="1" applyFill="1" applyBorder="1" applyAlignment="1">
      <alignment horizontal="center" vertical="center"/>
    </xf>
    <xf numFmtId="164" fontId="8" fillId="0" borderId="32" xfId="1" applyNumberFormat="1" applyFont="1" applyFill="1" applyBorder="1" applyAlignment="1">
      <alignment horizontal="center" vertical="center"/>
    </xf>
    <xf numFmtId="164" fontId="8" fillId="0" borderId="32" xfId="2" applyNumberFormat="1" applyFont="1" applyFill="1" applyBorder="1" applyAlignment="1">
      <alignment horizontal="center" vertical="center"/>
    </xf>
    <xf numFmtId="9" fontId="8" fillId="0" borderId="33" xfId="2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164" fontId="8" fillId="0" borderId="22" xfId="1" applyNumberFormat="1" applyFont="1" applyFill="1" applyBorder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164" fontId="8" fillId="2" borderId="22" xfId="0" applyNumberFormat="1" applyFont="1" applyFill="1" applyBorder="1" applyAlignment="1">
      <alignment horizontal="center" vertical="center"/>
    </xf>
    <xf numFmtId="164" fontId="8" fillId="2" borderId="23" xfId="0" applyNumberFormat="1" applyFont="1" applyFill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14" fontId="8" fillId="2" borderId="23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164" fontId="8" fillId="4" borderId="9" xfId="1" applyNumberFormat="1" applyFont="1" applyFill="1" applyBorder="1" applyAlignment="1">
      <alignment horizontal="center" vertical="center"/>
    </xf>
    <xf numFmtId="164" fontId="8" fillId="4" borderId="10" xfId="1" applyNumberFormat="1" applyFont="1" applyFill="1" applyBorder="1" applyAlignment="1">
      <alignment horizontal="center" vertical="center"/>
    </xf>
    <xf numFmtId="164" fontId="8" fillId="4" borderId="14" xfId="1" applyNumberFormat="1" applyFont="1" applyFill="1" applyBorder="1" applyAlignment="1">
      <alignment horizontal="center" vertical="center"/>
    </xf>
    <xf numFmtId="164" fontId="8" fillId="4" borderId="15" xfId="1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textRotation="180" wrapText="1"/>
    </xf>
    <xf numFmtId="0" fontId="6" fillId="4" borderId="1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4" fontId="8" fillId="4" borderId="5" xfId="0" applyNumberFormat="1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164" fontId="8" fillId="4" borderId="27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/>
    </xf>
    <xf numFmtId="0" fontId="6" fillId="4" borderId="32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8" fillId="4" borderId="3" xfId="1" applyNumberFormat="1" applyFont="1" applyFill="1" applyBorder="1" applyAlignment="1">
      <alignment horizontal="center" vertical="center"/>
    </xf>
    <xf numFmtId="164" fontId="8" fillId="4" borderId="12" xfId="1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4" fillId="4" borderId="2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9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4" fontId="8" fillId="4" borderId="3" xfId="0" applyNumberFormat="1" applyFont="1" applyFill="1" applyBorder="1" applyAlignment="1">
      <alignment horizontal="center" vertical="center"/>
    </xf>
    <xf numFmtId="164" fontId="8" fillId="4" borderId="12" xfId="0" applyNumberFormat="1" applyFont="1" applyFill="1" applyBorder="1" applyAlignment="1">
      <alignment horizontal="center" vertical="center"/>
    </xf>
    <xf numFmtId="9" fontId="8" fillId="4" borderId="3" xfId="2" applyFont="1" applyFill="1" applyBorder="1" applyAlignment="1">
      <alignment horizontal="center" vertical="center"/>
    </xf>
    <xf numFmtId="9" fontId="8" fillId="4" borderId="12" xfId="2" applyFont="1" applyFill="1" applyBorder="1" applyAlignment="1">
      <alignment horizontal="center" vertical="center"/>
    </xf>
    <xf numFmtId="9" fontId="8" fillId="4" borderId="14" xfId="2" applyFont="1" applyFill="1" applyBorder="1" applyAlignment="1">
      <alignment horizontal="center" vertical="center"/>
    </xf>
    <xf numFmtId="9" fontId="8" fillId="4" borderId="15" xfId="2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9" fontId="8" fillId="0" borderId="12" xfId="2" applyFont="1" applyFill="1" applyBorder="1" applyAlignment="1">
      <alignment horizontal="center" vertical="center"/>
    </xf>
    <xf numFmtId="9" fontId="8" fillId="0" borderId="14" xfId="2" applyFont="1" applyFill="1" applyBorder="1" applyAlignment="1">
      <alignment horizontal="center" vertical="center"/>
    </xf>
    <xf numFmtId="9" fontId="8" fillId="0" borderId="15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64" fontId="8" fillId="0" borderId="9" xfId="1" applyNumberFormat="1" applyFont="1" applyFill="1" applyBorder="1" applyAlignment="1">
      <alignment horizontal="center" vertical="center"/>
    </xf>
    <xf numFmtId="164" fontId="8" fillId="0" borderId="10" xfId="1" applyNumberFormat="1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>
      <alignment horizontal="center" vertical="center"/>
    </xf>
    <xf numFmtId="164" fontId="8" fillId="0" borderId="12" xfId="1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4" fontId="8" fillId="3" borderId="5" xfId="0" applyNumberFormat="1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164" fontId="8" fillId="3" borderId="27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2</xdr:row>
      <xdr:rowOff>114299</xdr:rowOff>
    </xdr:from>
    <xdr:to>
      <xdr:col>5</xdr:col>
      <xdr:colOff>294544</xdr:colOff>
      <xdr:row>7</xdr:row>
      <xdr:rowOff>167699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6E134-35B8-4394-9D52-05B83E97C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638174"/>
          <a:ext cx="2151919" cy="104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2</xdr:row>
      <xdr:rowOff>114299</xdr:rowOff>
    </xdr:from>
    <xdr:to>
      <xdr:col>5</xdr:col>
      <xdr:colOff>294544</xdr:colOff>
      <xdr:row>7</xdr:row>
      <xdr:rowOff>167699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2D0E0-D7EE-4CB2-B639-11F112BA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640079"/>
          <a:ext cx="2207164" cy="103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86"/>
  <sheetViews>
    <sheetView workbookViewId="0">
      <selection activeCell="O83" sqref="O83"/>
    </sheetView>
  </sheetViews>
  <sheetFormatPr defaultRowHeight="14.5" x14ac:dyDescent="0.35"/>
  <cols>
    <col min="1" max="1" width="0.7265625" customWidth="1"/>
    <col min="2" max="2" width="7.54296875" customWidth="1"/>
    <col min="3" max="3" width="9.26953125" customWidth="1"/>
    <col min="4" max="4" width="4.7265625" customWidth="1"/>
    <col min="5" max="6" width="17.7265625" customWidth="1"/>
    <col min="7" max="9" width="15.7265625" customWidth="1"/>
    <col min="10" max="10" width="16.54296875" customWidth="1"/>
    <col min="11" max="11" width="14.7265625" customWidth="1"/>
    <col min="12" max="12" width="14.7265625" style="2" customWidth="1"/>
  </cols>
  <sheetData>
    <row r="1" spans="2:12" ht="26.5" thickBot="1" x14ac:dyDescent="0.4">
      <c r="B1" s="173" t="s">
        <v>14</v>
      </c>
      <c r="C1" s="174"/>
      <c r="D1" s="174"/>
      <c r="E1" s="174"/>
      <c r="F1" s="174"/>
      <c r="G1" s="174"/>
      <c r="H1" s="174"/>
      <c r="I1" s="174"/>
      <c r="J1" s="174"/>
      <c r="K1" s="174"/>
      <c r="L1" s="175"/>
    </row>
    <row r="2" spans="2:12" ht="15" customHeight="1" thickBot="1" x14ac:dyDescent="0.4">
      <c r="B2" s="62"/>
      <c r="C2" s="63"/>
      <c r="D2" s="63"/>
      <c r="E2" s="63"/>
      <c r="F2" s="64"/>
      <c r="G2" s="71" t="s">
        <v>16</v>
      </c>
      <c r="H2" s="72"/>
      <c r="I2" s="72"/>
      <c r="J2" s="72"/>
      <c r="K2" s="73" t="s">
        <v>57</v>
      </c>
      <c r="L2" s="74"/>
    </row>
    <row r="3" spans="2:12" ht="15" customHeight="1" thickBot="1" x14ac:dyDescent="0.4">
      <c r="B3" s="65"/>
      <c r="C3" s="66"/>
      <c r="D3" s="66"/>
      <c r="E3" s="66"/>
      <c r="F3" s="67"/>
      <c r="G3" s="71"/>
      <c r="H3" s="72"/>
      <c r="I3" s="72"/>
      <c r="J3" s="72"/>
      <c r="K3" s="73"/>
      <c r="L3" s="74"/>
    </row>
    <row r="4" spans="2:12" ht="16.5" customHeight="1" thickBot="1" x14ac:dyDescent="0.4">
      <c r="B4" s="65"/>
      <c r="C4" s="66"/>
      <c r="D4" s="66"/>
      <c r="E4" s="66"/>
      <c r="F4" s="67"/>
      <c r="G4" s="75" t="s">
        <v>12</v>
      </c>
      <c r="H4" s="76"/>
      <c r="I4" s="76"/>
      <c r="J4" s="76"/>
      <c r="K4" s="77">
        <v>5000</v>
      </c>
      <c r="L4" s="78"/>
    </row>
    <row r="5" spans="2:12" ht="15" customHeight="1" thickBot="1" x14ac:dyDescent="0.4">
      <c r="B5" s="65"/>
      <c r="C5" s="66"/>
      <c r="D5" s="66"/>
      <c r="E5" s="66"/>
      <c r="F5" s="67"/>
      <c r="G5" s="75"/>
      <c r="H5" s="76"/>
      <c r="I5" s="76"/>
      <c r="J5" s="76"/>
      <c r="K5" s="77"/>
      <c r="L5" s="78"/>
    </row>
    <row r="6" spans="2:12" ht="16.5" customHeight="1" thickBot="1" x14ac:dyDescent="0.4">
      <c r="B6" s="65"/>
      <c r="C6" s="66"/>
      <c r="D6" s="66"/>
      <c r="E6" s="66"/>
      <c r="F6" s="67"/>
      <c r="G6" s="79" t="s">
        <v>18</v>
      </c>
      <c r="H6" s="80"/>
      <c r="I6" s="80"/>
      <c r="J6" s="80"/>
      <c r="K6" s="81"/>
      <c r="L6" s="82"/>
    </row>
    <row r="7" spans="2:12" ht="15" customHeight="1" thickBot="1" x14ac:dyDescent="0.4">
      <c r="B7" s="65"/>
      <c r="C7" s="66"/>
      <c r="D7" s="66"/>
      <c r="E7" s="66"/>
      <c r="F7" s="67"/>
      <c r="G7" s="79"/>
      <c r="H7" s="80"/>
      <c r="I7" s="80"/>
      <c r="J7" s="80"/>
      <c r="K7" s="81"/>
      <c r="L7" s="82"/>
    </row>
    <row r="8" spans="2:12" ht="16.5" customHeight="1" thickBot="1" x14ac:dyDescent="0.4">
      <c r="B8" s="65"/>
      <c r="C8" s="66"/>
      <c r="D8" s="66"/>
      <c r="E8" s="66"/>
      <c r="F8" s="67"/>
      <c r="G8" s="79" t="s">
        <v>19</v>
      </c>
      <c r="H8" s="80"/>
      <c r="I8" s="80"/>
      <c r="J8" s="80"/>
      <c r="K8" s="83"/>
      <c r="L8" s="84"/>
    </row>
    <row r="9" spans="2:12" ht="15" customHeight="1" thickBot="1" x14ac:dyDescent="0.4">
      <c r="B9" s="68"/>
      <c r="C9" s="69"/>
      <c r="D9" s="69"/>
      <c r="E9" s="69"/>
      <c r="F9" s="70"/>
      <c r="G9" s="79"/>
      <c r="H9" s="80"/>
      <c r="I9" s="80"/>
      <c r="J9" s="80"/>
      <c r="K9" s="83"/>
      <c r="L9" s="84"/>
    </row>
    <row r="10" spans="2:12" ht="16.5" customHeight="1" thickBot="1" x14ac:dyDescent="0.4">
      <c r="B10" s="97" t="s">
        <v>4</v>
      </c>
      <c r="C10" s="97"/>
      <c r="D10" s="97"/>
      <c r="E10" s="97"/>
      <c r="F10" s="97"/>
      <c r="G10" s="97" t="s">
        <v>48</v>
      </c>
      <c r="H10" s="97"/>
      <c r="I10" s="97"/>
      <c r="J10" s="97" t="s">
        <v>5</v>
      </c>
      <c r="K10" s="97"/>
      <c r="L10" s="97"/>
    </row>
    <row r="11" spans="2:12" ht="15" customHeight="1" x14ac:dyDescent="0.35">
      <c r="B11" s="98" t="s">
        <v>50</v>
      </c>
      <c r="C11" s="98"/>
      <c r="D11" s="98"/>
      <c r="E11" s="98"/>
      <c r="F11" s="98"/>
      <c r="G11" s="98" t="s">
        <v>49</v>
      </c>
      <c r="H11" s="98"/>
      <c r="I11" s="98"/>
      <c r="J11" s="101" t="s">
        <v>58</v>
      </c>
      <c r="K11" s="101"/>
      <c r="L11" s="101"/>
    </row>
    <row r="12" spans="2:12" ht="15.75" customHeight="1" x14ac:dyDescent="0.35">
      <c r="B12" s="99"/>
      <c r="C12" s="99"/>
      <c r="D12" s="99"/>
      <c r="E12" s="99"/>
      <c r="F12" s="99"/>
      <c r="G12" s="99"/>
      <c r="H12" s="99"/>
      <c r="I12" s="99"/>
      <c r="J12" s="102"/>
      <c r="K12" s="102"/>
      <c r="L12" s="102"/>
    </row>
    <row r="13" spans="2:12" ht="15" customHeight="1" thickBot="1" x14ac:dyDescent="0.4">
      <c r="B13" s="100"/>
      <c r="C13" s="100"/>
      <c r="D13" s="100"/>
      <c r="E13" s="100"/>
      <c r="F13" s="100"/>
      <c r="G13" s="100"/>
      <c r="H13" s="100"/>
      <c r="I13" s="100"/>
      <c r="J13" s="103"/>
      <c r="K13" s="103"/>
      <c r="L13" s="103"/>
    </row>
    <row r="14" spans="2:12" ht="15.75" customHeight="1" x14ac:dyDescent="0.35">
      <c r="B14" s="167" t="s">
        <v>2</v>
      </c>
      <c r="C14" s="126"/>
      <c r="D14" s="126"/>
      <c r="E14" s="126"/>
      <c r="F14" s="126"/>
      <c r="G14" s="126"/>
      <c r="H14" s="126"/>
      <c r="I14" s="126"/>
      <c r="J14" s="126"/>
      <c r="K14" s="163">
        <f>+K4</f>
        <v>5000</v>
      </c>
      <c r="L14" s="164"/>
    </row>
    <row r="15" spans="2:12" ht="15" customHeight="1" x14ac:dyDescent="0.35">
      <c r="B15" s="168"/>
      <c r="C15" s="127"/>
      <c r="D15" s="127"/>
      <c r="E15" s="127"/>
      <c r="F15" s="127"/>
      <c r="G15" s="127"/>
      <c r="H15" s="127"/>
      <c r="I15" s="127"/>
      <c r="J15" s="127"/>
      <c r="K15" s="165"/>
      <c r="L15" s="166"/>
    </row>
    <row r="16" spans="2:12" ht="15.5" x14ac:dyDescent="0.35">
      <c r="B16" s="168" t="s">
        <v>6</v>
      </c>
      <c r="C16" s="127"/>
      <c r="D16" s="127"/>
      <c r="E16" s="127"/>
      <c r="F16" s="127"/>
      <c r="G16" s="30">
        <f>+L84</f>
        <v>0</v>
      </c>
      <c r="H16" s="31" t="s">
        <v>8</v>
      </c>
      <c r="I16" s="32">
        <f>+G16/K14</f>
        <v>0</v>
      </c>
      <c r="J16" s="31" t="s">
        <v>56</v>
      </c>
      <c r="K16" s="33">
        <f>SUM(J42:K42)/K14</f>
        <v>0.41175</v>
      </c>
      <c r="L16" s="34"/>
    </row>
    <row r="17" spans="2:12" ht="15" customHeight="1" x14ac:dyDescent="0.35">
      <c r="B17" s="35"/>
      <c r="C17" s="95"/>
      <c r="D17" s="95"/>
      <c r="E17" s="95"/>
      <c r="F17" s="36" t="s">
        <v>46</v>
      </c>
      <c r="G17" s="36" t="s">
        <v>21</v>
      </c>
      <c r="H17" s="36" t="s">
        <v>45</v>
      </c>
      <c r="I17" s="36" t="s">
        <v>22</v>
      </c>
      <c r="J17" s="36" t="s">
        <v>43</v>
      </c>
      <c r="K17" s="36" t="s">
        <v>44</v>
      </c>
      <c r="L17" s="37" t="s">
        <v>55</v>
      </c>
    </row>
    <row r="18" spans="2:12" ht="15" customHeight="1" x14ac:dyDescent="0.35">
      <c r="B18" s="35"/>
      <c r="C18" s="96" t="s">
        <v>25</v>
      </c>
      <c r="D18" s="96"/>
      <c r="E18" s="96"/>
      <c r="F18" s="38">
        <v>1</v>
      </c>
      <c r="G18" s="30">
        <v>35</v>
      </c>
      <c r="H18" s="39">
        <v>1</v>
      </c>
      <c r="I18" s="30">
        <v>52.5</v>
      </c>
      <c r="J18" s="30">
        <f>F18*G18</f>
        <v>35</v>
      </c>
      <c r="K18" s="30">
        <f>H18*I18</f>
        <v>52.5</v>
      </c>
      <c r="L18" s="40">
        <f>SUM(J18:K18)/K14</f>
        <v>1.7500000000000002E-2</v>
      </c>
    </row>
    <row r="19" spans="2:12" ht="15" customHeight="1" x14ac:dyDescent="0.35">
      <c r="B19" s="35"/>
      <c r="C19" s="96" t="s">
        <v>26</v>
      </c>
      <c r="D19" s="96"/>
      <c r="E19" s="96"/>
      <c r="F19" s="38">
        <v>1</v>
      </c>
      <c r="G19" s="30">
        <v>30</v>
      </c>
      <c r="H19" s="39">
        <v>1</v>
      </c>
      <c r="I19" s="30">
        <v>45</v>
      </c>
      <c r="J19" s="30">
        <f t="shared" ref="J19:J39" si="0">F19*G19</f>
        <v>30</v>
      </c>
      <c r="K19" s="30">
        <f t="shared" ref="K19:K41" si="1">H19*I19</f>
        <v>45</v>
      </c>
      <c r="L19" s="40">
        <f>SUM(J19:K19)/K14</f>
        <v>1.4999999999999999E-2</v>
      </c>
    </row>
    <row r="20" spans="2:12" ht="15" customHeight="1" x14ac:dyDescent="0.35">
      <c r="B20" s="35"/>
      <c r="C20" s="96" t="s">
        <v>27</v>
      </c>
      <c r="D20" s="96"/>
      <c r="E20" s="96"/>
      <c r="F20" s="38">
        <v>1</v>
      </c>
      <c r="G20" s="30">
        <v>30</v>
      </c>
      <c r="H20" s="39">
        <v>1</v>
      </c>
      <c r="I20" s="30">
        <v>45</v>
      </c>
      <c r="J20" s="30">
        <f t="shared" si="0"/>
        <v>30</v>
      </c>
      <c r="K20" s="30">
        <f t="shared" si="1"/>
        <v>45</v>
      </c>
      <c r="L20" s="40">
        <f>SUM(J20:K20)/K14</f>
        <v>1.4999999999999999E-2</v>
      </c>
    </row>
    <row r="21" spans="2:12" ht="15" customHeight="1" x14ac:dyDescent="0.35">
      <c r="B21" s="35"/>
      <c r="C21" s="96" t="s">
        <v>17</v>
      </c>
      <c r="D21" s="96"/>
      <c r="E21" s="96"/>
      <c r="F21" s="38">
        <v>1</v>
      </c>
      <c r="G21" s="30">
        <v>26</v>
      </c>
      <c r="H21" s="39">
        <v>1</v>
      </c>
      <c r="I21" s="30">
        <v>39</v>
      </c>
      <c r="J21" s="30">
        <f t="shared" si="0"/>
        <v>26</v>
      </c>
      <c r="K21" s="30">
        <f t="shared" si="1"/>
        <v>39</v>
      </c>
      <c r="L21" s="40">
        <f>SUM(J21:K21)/K14</f>
        <v>1.2999999999999999E-2</v>
      </c>
    </row>
    <row r="22" spans="2:12" ht="15" customHeight="1" x14ac:dyDescent="0.35">
      <c r="B22" s="104" t="s">
        <v>23</v>
      </c>
      <c r="C22" s="96" t="s">
        <v>28</v>
      </c>
      <c r="D22" s="96"/>
      <c r="E22" s="96"/>
      <c r="F22" s="38">
        <v>1</v>
      </c>
      <c r="G22" s="30">
        <v>33</v>
      </c>
      <c r="H22" s="39">
        <v>1</v>
      </c>
      <c r="I22" s="30">
        <v>49.5</v>
      </c>
      <c r="J22" s="30">
        <f t="shared" si="0"/>
        <v>33</v>
      </c>
      <c r="K22" s="30">
        <f t="shared" si="1"/>
        <v>49.5</v>
      </c>
      <c r="L22" s="40">
        <f>SUM(J22:K22)/K14</f>
        <v>1.6500000000000001E-2</v>
      </c>
    </row>
    <row r="23" spans="2:12" ht="15" customHeight="1" x14ac:dyDescent="0.35">
      <c r="B23" s="104"/>
      <c r="C23" s="96" t="s">
        <v>29</v>
      </c>
      <c r="D23" s="96"/>
      <c r="E23" s="96"/>
      <c r="F23" s="38">
        <v>1</v>
      </c>
      <c r="G23" s="30">
        <v>33</v>
      </c>
      <c r="H23" s="39">
        <v>1</v>
      </c>
      <c r="I23" s="30">
        <v>49.5</v>
      </c>
      <c r="J23" s="30">
        <f t="shared" si="0"/>
        <v>33</v>
      </c>
      <c r="K23" s="30">
        <f t="shared" si="1"/>
        <v>49.5</v>
      </c>
      <c r="L23" s="40">
        <f>SUM(J23:K23)/K14</f>
        <v>1.6500000000000001E-2</v>
      </c>
    </row>
    <row r="24" spans="2:12" ht="15" customHeight="1" x14ac:dyDescent="0.35">
      <c r="B24" s="104"/>
      <c r="C24" s="96" t="s">
        <v>30</v>
      </c>
      <c r="D24" s="96"/>
      <c r="E24" s="96"/>
      <c r="F24" s="38">
        <v>1</v>
      </c>
      <c r="G24" s="30">
        <v>33</v>
      </c>
      <c r="H24" s="39">
        <v>1</v>
      </c>
      <c r="I24" s="30">
        <v>49.5</v>
      </c>
      <c r="J24" s="30">
        <f t="shared" si="0"/>
        <v>33</v>
      </c>
      <c r="K24" s="30">
        <f t="shared" si="1"/>
        <v>49.5</v>
      </c>
      <c r="L24" s="40">
        <f>SUM(J24:K24)/K14</f>
        <v>1.6500000000000001E-2</v>
      </c>
    </row>
    <row r="25" spans="2:12" ht="15" customHeight="1" x14ac:dyDescent="0.35">
      <c r="B25" s="104"/>
      <c r="C25" s="96" t="s">
        <v>31</v>
      </c>
      <c r="D25" s="96"/>
      <c r="E25" s="96"/>
      <c r="F25" s="38">
        <v>1</v>
      </c>
      <c r="G25" s="30">
        <v>33</v>
      </c>
      <c r="H25" s="39">
        <v>1</v>
      </c>
      <c r="I25" s="30">
        <v>49.5</v>
      </c>
      <c r="J25" s="30">
        <f t="shared" si="0"/>
        <v>33</v>
      </c>
      <c r="K25" s="30">
        <f t="shared" si="1"/>
        <v>49.5</v>
      </c>
      <c r="L25" s="40">
        <f>SUM(J25:K25)/K14</f>
        <v>1.6500000000000001E-2</v>
      </c>
    </row>
    <row r="26" spans="2:12" ht="15" customHeight="1" x14ac:dyDescent="0.35">
      <c r="B26" s="104"/>
      <c r="C26" s="96" t="s">
        <v>32</v>
      </c>
      <c r="D26" s="96"/>
      <c r="E26" s="96"/>
      <c r="F26" s="38">
        <v>1</v>
      </c>
      <c r="G26" s="30">
        <v>33</v>
      </c>
      <c r="H26" s="39">
        <v>1</v>
      </c>
      <c r="I26" s="30">
        <v>49.5</v>
      </c>
      <c r="J26" s="30">
        <f t="shared" si="0"/>
        <v>33</v>
      </c>
      <c r="K26" s="30">
        <f t="shared" si="1"/>
        <v>49.5</v>
      </c>
      <c r="L26" s="40">
        <f>SUM(J26:K26)/K14</f>
        <v>1.6500000000000001E-2</v>
      </c>
    </row>
    <row r="27" spans="2:12" ht="15" customHeight="1" x14ac:dyDescent="0.35">
      <c r="B27" s="104" t="s">
        <v>24</v>
      </c>
      <c r="C27" s="96" t="s">
        <v>33</v>
      </c>
      <c r="D27" s="96"/>
      <c r="E27" s="96"/>
      <c r="F27" s="38">
        <v>1</v>
      </c>
      <c r="G27" s="30">
        <v>47.5</v>
      </c>
      <c r="H27" s="39">
        <v>1</v>
      </c>
      <c r="I27" s="30">
        <v>71.25</v>
      </c>
      <c r="J27" s="30">
        <f t="shared" si="0"/>
        <v>47.5</v>
      </c>
      <c r="K27" s="30">
        <f t="shared" si="1"/>
        <v>71.25</v>
      </c>
      <c r="L27" s="40">
        <f>SUM(J27:K27)/K14</f>
        <v>2.375E-2</v>
      </c>
    </row>
    <row r="28" spans="2:12" ht="15" customHeight="1" x14ac:dyDescent="0.35">
      <c r="B28" s="104"/>
      <c r="C28" s="96" t="s">
        <v>34</v>
      </c>
      <c r="D28" s="96"/>
      <c r="E28" s="96"/>
      <c r="F28" s="38">
        <v>1</v>
      </c>
      <c r="G28" s="30">
        <v>26</v>
      </c>
      <c r="H28" s="39">
        <v>1</v>
      </c>
      <c r="I28" s="30">
        <v>39</v>
      </c>
      <c r="J28" s="30">
        <f t="shared" si="0"/>
        <v>26</v>
      </c>
      <c r="K28" s="30">
        <f t="shared" si="1"/>
        <v>39</v>
      </c>
      <c r="L28" s="40">
        <f>SUM(J28:K28)/K14</f>
        <v>1.2999999999999999E-2</v>
      </c>
    </row>
    <row r="29" spans="2:12" ht="15" customHeight="1" x14ac:dyDescent="0.35">
      <c r="B29" s="104"/>
      <c r="C29" s="96" t="s">
        <v>35</v>
      </c>
      <c r="D29" s="96"/>
      <c r="E29" s="96"/>
      <c r="F29" s="38">
        <v>1</v>
      </c>
      <c r="G29" s="30">
        <v>35.5</v>
      </c>
      <c r="H29" s="39">
        <v>1</v>
      </c>
      <c r="I29" s="30">
        <v>53.25</v>
      </c>
      <c r="J29" s="30">
        <f t="shared" si="0"/>
        <v>35.5</v>
      </c>
      <c r="K29" s="30">
        <f t="shared" si="1"/>
        <v>53.25</v>
      </c>
      <c r="L29" s="40">
        <f>SUM(J29:K29)/K14</f>
        <v>1.7749999999999998E-2</v>
      </c>
    </row>
    <row r="30" spans="2:12" ht="15" customHeight="1" x14ac:dyDescent="0.35">
      <c r="B30" s="104"/>
      <c r="C30" s="96" t="s">
        <v>29</v>
      </c>
      <c r="D30" s="96"/>
      <c r="E30" s="96"/>
      <c r="F30" s="38">
        <v>1</v>
      </c>
      <c r="G30" s="30">
        <v>49.5</v>
      </c>
      <c r="H30" s="39">
        <v>1</v>
      </c>
      <c r="I30" s="30">
        <v>74.25</v>
      </c>
      <c r="J30" s="30">
        <f t="shared" si="0"/>
        <v>49.5</v>
      </c>
      <c r="K30" s="30">
        <f t="shared" si="1"/>
        <v>74.25</v>
      </c>
      <c r="L30" s="40">
        <f>SUM(J30:K30)/K14</f>
        <v>2.4750000000000001E-2</v>
      </c>
    </row>
    <row r="31" spans="2:12" ht="15" customHeight="1" x14ac:dyDescent="0.35">
      <c r="B31" s="104"/>
      <c r="C31" s="96" t="s">
        <v>30</v>
      </c>
      <c r="D31" s="96"/>
      <c r="E31" s="96"/>
      <c r="F31" s="38">
        <v>1</v>
      </c>
      <c r="G31" s="30">
        <v>45</v>
      </c>
      <c r="H31" s="39">
        <v>1</v>
      </c>
      <c r="I31" s="30">
        <v>67.5</v>
      </c>
      <c r="J31" s="30">
        <f t="shared" si="0"/>
        <v>45</v>
      </c>
      <c r="K31" s="30">
        <f t="shared" si="1"/>
        <v>67.5</v>
      </c>
      <c r="L31" s="40">
        <f>SUM(J31:K31)/K14</f>
        <v>2.2499999999999999E-2</v>
      </c>
    </row>
    <row r="32" spans="2:12" ht="15" customHeight="1" x14ac:dyDescent="0.35">
      <c r="B32" s="104"/>
      <c r="C32" s="96" t="s">
        <v>36</v>
      </c>
      <c r="D32" s="96"/>
      <c r="E32" s="96"/>
      <c r="F32" s="38">
        <v>1</v>
      </c>
      <c r="G32" s="30">
        <v>48.5</v>
      </c>
      <c r="H32" s="39">
        <v>1</v>
      </c>
      <c r="I32" s="30">
        <v>72.75</v>
      </c>
      <c r="J32" s="30">
        <f t="shared" si="0"/>
        <v>48.5</v>
      </c>
      <c r="K32" s="30">
        <f t="shared" si="1"/>
        <v>72.75</v>
      </c>
      <c r="L32" s="40">
        <f>SUM(J32:K32)/K14</f>
        <v>2.4250000000000001E-2</v>
      </c>
    </row>
    <row r="33" spans="2:12" ht="15" customHeight="1" x14ac:dyDescent="0.35">
      <c r="B33" s="104"/>
      <c r="C33" s="96" t="s">
        <v>32</v>
      </c>
      <c r="D33" s="96"/>
      <c r="E33" s="96"/>
      <c r="F33" s="38">
        <v>1</v>
      </c>
      <c r="G33" s="30">
        <v>48.5</v>
      </c>
      <c r="H33" s="39">
        <v>1</v>
      </c>
      <c r="I33" s="30">
        <v>72.75</v>
      </c>
      <c r="J33" s="30">
        <f t="shared" si="0"/>
        <v>48.5</v>
      </c>
      <c r="K33" s="30">
        <f t="shared" si="1"/>
        <v>72.75</v>
      </c>
      <c r="L33" s="40">
        <f>SUM(J33:K33)/K14</f>
        <v>2.4250000000000001E-2</v>
      </c>
    </row>
    <row r="34" spans="2:12" ht="15" customHeight="1" x14ac:dyDescent="0.35">
      <c r="B34" s="35"/>
      <c r="C34" s="96" t="s">
        <v>37</v>
      </c>
      <c r="D34" s="96"/>
      <c r="E34" s="96"/>
      <c r="F34" s="38">
        <v>1</v>
      </c>
      <c r="G34" s="30">
        <v>31</v>
      </c>
      <c r="H34" s="39">
        <v>1</v>
      </c>
      <c r="I34" s="30">
        <v>46.5</v>
      </c>
      <c r="J34" s="30">
        <f t="shared" si="0"/>
        <v>31</v>
      </c>
      <c r="K34" s="30">
        <f t="shared" si="1"/>
        <v>46.5</v>
      </c>
      <c r="L34" s="40">
        <f>SUM(J34:K34)/K14</f>
        <v>1.55E-2</v>
      </c>
    </row>
    <row r="35" spans="2:12" ht="15" customHeight="1" x14ac:dyDescent="0.35">
      <c r="B35" s="35"/>
      <c r="C35" s="96" t="s">
        <v>38</v>
      </c>
      <c r="D35" s="96"/>
      <c r="E35" s="96"/>
      <c r="F35" s="38">
        <v>1</v>
      </c>
      <c r="G35" s="30">
        <v>31</v>
      </c>
      <c r="H35" s="39">
        <v>1</v>
      </c>
      <c r="I35" s="30">
        <v>46.5</v>
      </c>
      <c r="J35" s="30">
        <f t="shared" si="0"/>
        <v>31</v>
      </c>
      <c r="K35" s="30">
        <f t="shared" si="1"/>
        <v>46.5</v>
      </c>
      <c r="L35" s="40">
        <f>SUM(J35:K35)/K14</f>
        <v>1.55E-2</v>
      </c>
    </row>
    <row r="36" spans="2:12" ht="15" customHeight="1" x14ac:dyDescent="0.35">
      <c r="B36" s="35"/>
      <c r="C36" s="96" t="s">
        <v>39</v>
      </c>
      <c r="D36" s="96"/>
      <c r="E36" s="96"/>
      <c r="F36" s="38">
        <v>1</v>
      </c>
      <c r="G36" s="30">
        <v>33</v>
      </c>
      <c r="H36" s="39">
        <v>1</v>
      </c>
      <c r="I36" s="30">
        <v>49.5</v>
      </c>
      <c r="J36" s="30">
        <f t="shared" si="0"/>
        <v>33</v>
      </c>
      <c r="K36" s="30">
        <f t="shared" si="1"/>
        <v>49.5</v>
      </c>
      <c r="L36" s="40">
        <f>SUM(J36:K36)/K14</f>
        <v>1.6500000000000001E-2</v>
      </c>
    </row>
    <row r="37" spans="2:12" ht="15" customHeight="1" x14ac:dyDescent="0.35">
      <c r="B37" s="35"/>
      <c r="C37" s="96" t="s">
        <v>40</v>
      </c>
      <c r="D37" s="96"/>
      <c r="E37" s="96"/>
      <c r="F37" s="38">
        <v>1</v>
      </c>
      <c r="G37" s="30">
        <v>35.5</v>
      </c>
      <c r="H37" s="39">
        <v>1</v>
      </c>
      <c r="I37" s="30">
        <v>53.25</v>
      </c>
      <c r="J37" s="30">
        <f t="shared" si="0"/>
        <v>35.5</v>
      </c>
      <c r="K37" s="30">
        <f t="shared" si="1"/>
        <v>53.25</v>
      </c>
      <c r="L37" s="40">
        <f>SUM(J37:K37)/K14</f>
        <v>1.7749999999999998E-2</v>
      </c>
    </row>
    <row r="38" spans="2:12" ht="15" customHeight="1" x14ac:dyDescent="0.35">
      <c r="B38" s="35"/>
      <c r="C38" s="96" t="s">
        <v>20</v>
      </c>
      <c r="D38" s="96"/>
      <c r="E38" s="96"/>
      <c r="F38" s="38">
        <v>1</v>
      </c>
      <c r="G38" s="30">
        <v>35.5</v>
      </c>
      <c r="H38" s="39">
        <v>1</v>
      </c>
      <c r="I38" s="30">
        <v>53.25</v>
      </c>
      <c r="J38" s="30">
        <f t="shared" si="0"/>
        <v>35.5</v>
      </c>
      <c r="K38" s="30">
        <f t="shared" si="1"/>
        <v>53.25</v>
      </c>
      <c r="L38" s="40">
        <f>SUM(J38:K38)/K14</f>
        <v>1.7749999999999998E-2</v>
      </c>
    </row>
    <row r="39" spans="2:12" ht="15" customHeight="1" x14ac:dyDescent="0.35">
      <c r="B39" s="35"/>
      <c r="C39" s="96" t="s">
        <v>41</v>
      </c>
      <c r="D39" s="96"/>
      <c r="E39" s="96"/>
      <c r="F39" s="38">
        <v>1</v>
      </c>
      <c r="G39" s="30">
        <v>26</v>
      </c>
      <c r="H39" s="39">
        <v>1</v>
      </c>
      <c r="I39" s="30">
        <v>39</v>
      </c>
      <c r="J39" s="30">
        <f t="shared" si="0"/>
        <v>26</v>
      </c>
      <c r="K39" s="30">
        <f t="shared" si="1"/>
        <v>39</v>
      </c>
      <c r="L39" s="40">
        <f>SUM(J39:K39)/K14</f>
        <v>1.2999999999999999E-2</v>
      </c>
    </row>
    <row r="40" spans="2:12" ht="15.5" x14ac:dyDescent="0.35">
      <c r="B40" s="182" t="s">
        <v>54</v>
      </c>
      <c r="C40" s="183"/>
      <c r="D40" s="183"/>
      <c r="E40" s="183"/>
      <c r="F40" s="4">
        <f>SUM(F18:F39)</f>
        <v>22</v>
      </c>
      <c r="G40" s="5"/>
      <c r="H40" s="4">
        <f>SUM(H18:H39)</f>
        <v>22</v>
      </c>
      <c r="I40" s="179"/>
      <c r="J40" s="180"/>
      <c r="K40" s="180"/>
      <c r="L40" s="181"/>
    </row>
    <row r="41" spans="2:12" ht="15.5" x14ac:dyDescent="0.35">
      <c r="B41" s="35"/>
      <c r="C41" s="96" t="s">
        <v>42</v>
      </c>
      <c r="D41" s="96"/>
      <c r="E41" s="96"/>
      <c r="F41" s="39">
        <v>1</v>
      </c>
      <c r="G41" s="30">
        <v>45</v>
      </c>
      <c r="H41" s="39">
        <v>1</v>
      </c>
      <c r="I41" s="30">
        <v>67.5</v>
      </c>
      <c r="J41" s="29">
        <f>+F41*G41</f>
        <v>45</v>
      </c>
      <c r="K41" s="30">
        <f t="shared" si="1"/>
        <v>67.5</v>
      </c>
      <c r="L41" s="40">
        <f>SUM(J41:K41)/K14</f>
        <v>2.2499999999999999E-2</v>
      </c>
    </row>
    <row r="42" spans="2:12" ht="15.5" x14ac:dyDescent="0.35">
      <c r="B42" s="184" t="s">
        <v>11</v>
      </c>
      <c r="C42" s="185"/>
      <c r="D42" s="185"/>
      <c r="E42" s="185"/>
      <c r="F42" s="6">
        <f>F41</f>
        <v>1</v>
      </c>
      <c r="G42" s="5"/>
      <c r="H42" s="6">
        <f>H41</f>
        <v>1</v>
      </c>
      <c r="I42" s="5"/>
      <c r="J42" s="29">
        <f>SUM(J18:J41)</f>
        <v>823.5</v>
      </c>
      <c r="K42" s="41">
        <f>SUM(K18:K41)</f>
        <v>1235.25</v>
      </c>
      <c r="L42" s="40">
        <f>SUM(J42:K42)/K14</f>
        <v>0.41175</v>
      </c>
    </row>
    <row r="43" spans="2:12" ht="15.75" customHeight="1" x14ac:dyDescent="0.35">
      <c r="B43" s="168" t="s">
        <v>3</v>
      </c>
      <c r="C43" s="127"/>
      <c r="D43" s="127"/>
      <c r="E43" s="127"/>
      <c r="F43" s="127"/>
      <c r="G43" s="127"/>
      <c r="H43" s="127"/>
      <c r="I43" s="127"/>
      <c r="J43" s="127"/>
      <c r="K43" s="165">
        <f>+G16+K42+J42</f>
        <v>2058.75</v>
      </c>
      <c r="L43" s="166"/>
    </row>
    <row r="44" spans="2:12" ht="15" customHeight="1" x14ac:dyDescent="0.35">
      <c r="B44" s="168"/>
      <c r="C44" s="127"/>
      <c r="D44" s="127"/>
      <c r="E44" s="127"/>
      <c r="F44" s="127"/>
      <c r="G44" s="127"/>
      <c r="H44" s="127"/>
      <c r="I44" s="127"/>
      <c r="J44" s="127"/>
      <c r="K44" s="165"/>
      <c r="L44" s="166"/>
    </row>
    <row r="45" spans="2:12" ht="15.75" customHeight="1" x14ac:dyDescent="0.35">
      <c r="B45" s="168" t="s">
        <v>10</v>
      </c>
      <c r="C45" s="127"/>
      <c r="D45" s="127"/>
      <c r="E45" s="127"/>
      <c r="F45" s="127"/>
      <c r="G45" s="127"/>
      <c r="H45" s="127"/>
      <c r="I45" s="127"/>
      <c r="J45" s="127"/>
      <c r="K45" s="169">
        <f>+K14-K43</f>
        <v>2941.25</v>
      </c>
      <c r="L45" s="170"/>
    </row>
    <row r="46" spans="2:12" ht="15" customHeight="1" x14ac:dyDescent="0.35">
      <c r="B46" s="168"/>
      <c r="C46" s="127"/>
      <c r="D46" s="127"/>
      <c r="E46" s="127"/>
      <c r="F46" s="127"/>
      <c r="G46" s="127"/>
      <c r="H46" s="127"/>
      <c r="I46" s="127"/>
      <c r="J46" s="127"/>
      <c r="K46" s="169"/>
      <c r="L46" s="170"/>
    </row>
    <row r="47" spans="2:12" ht="15.75" customHeight="1" x14ac:dyDescent="0.35">
      <c r="B47" s="168" t="s">
        <v>9</v>
      </c>
      <c r="C47" s="127"/>
      <c r="D47" s="127"/>
      <c r="E47" s="127"/>
      <c r="F47" s="127"/>
      <c r="G47" s="127"/>
      <c r="H47" s="127"/>
      <c r="I47" s="127"/>
      <c r="J47" s="127"/>
      <c r="K47" s="156">
        <f>+K45/K14</f>
        <v>0.58825000000000005</v>
      </c>
      <c r="L47" s="157"/>
    </row>
    <row r="48" spans="2:12" ht="15.75" customHeight="1" thickBot="1" x14ac:dyDescent="0.4">
      <c r="B48" s="171"/>
      <c r="C48" s="172"/>
      <c r="D48" s="172"/>
      <c r="E48" s="172"/>
      <c r="F48" s="172"/>
      <c r="G48" s="172"/>
      <c r="H48" s="172"/>
      <c r="I48" s="172"/>
      <c r="J48" s="172"/>
      <c r="K48" s="158"/>
      <c r="L48" s="159"/>
    </row>
    <row r="49" spans="2:12" ht="16" thickBot="1" x14ac:dyDescent="0.4">
      <c r="B49" s="176" t="s">
        <v>7</v>
      </c>
      <c r="C49" s="177"/>
      <c r="D49" s="177"/>
      <c r="E49" s="177"/>
      <c r="F49" s="177"/>
      <c r="G49" s="177"/>
      <c r="H49" s="177"/>
      <c r="I49" s="177"/>
      <c r="J49" s="177"/>
      <c r="K49" s="177"/>
      <c r="L49" s="178"/>
    </row>
    <row r="50" spans="2:12" ht="15" customHeight="1" x14ac:dyDescent="0.35">
      <c r="B50" s="142"/>
      <c r="C50" s="143"/>
      <c r="D50" s="143"/>
      <c r="E50" s="143"/>
      <c r="F50" s="143"/>
      <c r="G50" s="143"/>
      <c r="H50" s="143"/>
      <c r="I50" s="143"/>
      <c r="J50" s="143"/>
      <c r="K50" s="143"/>
      <c r="L50" s="144"/>
    </row>
    <row r="51" spans="2:12" ht="15" customHeight="1" x14ac:dyDescent="0.35">
      <c r="B51" s="142"/>
      <c r="C51" s="143"/>
      <c r="D51" s="143"/>
      <c r="E51" s="143"/>
      <c r="F51" s="143"/>
      <c r="G51" s="143"/>
      <c r="H51" s="143"/>
      <c r="I51" s="143"/>
      <c r="J51" s="143"/>
      <c r="K51" s="143"/>
      <c r="L51" s="144"/>
    </row>
    <row r="52" spans="2:12" ht="15" customHeight="1" thickBot="1" x14ac:dyDescent="0.4">
      <c r="B52" s="145"/>
      <c r="C52" s="146"/>
      <c r="D52" s="146"/>
      <c r="E52" s="146"/>
      <c r="F52" s="146"/>
      <c r="G52" s="146"/>
      <c r="H52" s="146"/>
      <c r="I52" s="146"/>
      <c r="J52" s="146"/>
      <c r="K52" s="146"/>
      <c r="L52" s="147"/>
    </row>
    <row r="53" spans="2:12" ht="22.5" customHeight="1" thickBot="1" x14ac:dyDescent="0.4">
      <c r="B53" s="160" t="s">
        <v>13</v>
      </c>
      <c r="C53" s="161"/>
      <c r="D53" s="161"/>
      <c r="E53" s="161"/>
      <c r="F53" s="161"/>
      <c r="G53" s="161"/>
      <c r="H53" s="161"/>
      <c r="I53" s="161"/>
      <c r="J53" s="161"/>
      <c r="K53" s="161"/>
      <c r="L53" s="162"/>
    </row>
    <row r="54" spans="2:12" ht="15" customHeight="1" x14ac:dyDescent="0.35">
      <c r="B54" s="122" t="s">
        <v>47</v>
      </c>
      <c r="C54" s="123"/>
      <c r="D54" s="123"/>
      <c r="E54" s="126" t="s">
        <v>0</v>
      </c>
      <c r="F54" s="126" t="s">
        <v>1</v>
      </c>
      <c r="G54" s="126"/>
      <c r="H54" s="126" t="s">
        <v>5</v>
      </c>
      <c r="I54" s="126"/>
      <c r="J54" s="128" t="s">
        <v>52</v>
      </c>
      <c r="K54" s="130" t="s">
        <v>51</v>
      </c>
      <c r="L54" s="131" t="s">
        <v>53</v>
      </c>
    </row>
    <row r="55" spans="2:12" ht="18" customHeight="1" x14ac:dyDescent="0.35">
      <c r="B55" s="124"/>
      <c r="C55" s="125"/>
      <c r="D55" s="125"/>
      <c r="E55" s="127"/>
      <c r="F55" s="127"/>
      <c r="G55" s="127"/>
      <c r="H55" s="127"/>
      <c r="I55" s="127"/>
      <c r="J55" s="129"/>
      <c r="K55" s="129"/>
      <c r="L55" s="132"/>
    </row>
    <row r="56" spans="2:12" x14ac:dyDescent="0.35">
      <c r="B56" s="148"/>
      <c r="C56" s="149"/>
      <c r="D56" s="149"/>
      <c r="E56" s="11"/>
      <c r="F56" s="149"/>
      <c r="G56" s="149"/>
      <c r="H56" s="125"/>
      <c r="I56" s="125"/>
      <c r="J56" s="8"/>
      <c r="K56" s="12"/>
      <c r="L56" s="13">
        <f>K56*1.05</f>
        <v>0</v>
      </c>
    </row>
    <row r="57" spans="2:12" x14ac:dyDescent="0.35">
      <c r="B57" s="148"/>
      <c r="C57" s="149"/>
      <c r="D57" s="149"/>
      <c r="E57" s="11"/>
      <c r="F57" s="149"/>
      <c r="G57" s="149"/>
      <c r="H57" s="125"/>
      <c r="I57" s="125"/>
      <c r="J57" s="10"/>
      <c r="K57" s="14"/>
      <c r="L57" s="13">
        <f t="shared" ref="L57:L83" si="2">K57*1.05</f>
        <v>0</v>
      </c>
    </row>
    <row r="58" spans="2:12" ht="15.5" x14ac:dyDescent="0.35">
      <c r="B58" s="148"/>
      <c r="C58" s="149"/>
      <c r="D58" s="149"/>
      <c r="E58" s="15"/>
      <c r="F58" s="127"/>
      <c r="G58" s="127"/>
      <c r="H58" s="125"/>
      <c r="I58" s="125"/>
      <c r="J58" s="16"/>
      <c r="K58" s="17"/>
      <c r="L58" s="13">
        <f t="shared" si="2"/>
        <v>0</v>
      </c>
    </row>
    <row r="59" spans="2:12" ht="15.5" x14ac:dyDescent="0.35">
      <c r="B59" s="148"/>
      <c r="C59" s="149"/>
      <c r="D59" s="149"/>
      <c r="E59" s="11"/>
      <c r="F59" s="127"/>
      <c r="G59" s="127"/>
      <c r="H59" s="125"/>
      <c r="I59" s="125"/>
      <c r="J59" s="16"/>
      <c r="K59" s="17"/>
      <c r="L59" s="13">
        <f t="shared" si="2"/>
        <v>0</v>
      </c>
    </row>
    <row r="60" spans="2:12" ht="15.5" x14ac:dyDescent="0.35">
      <c r="B60" s="124"/>
      <c r="C60" s="125"/>
      <c r="D60" s="125"/>
      <c r="E60" s="9"/>
      <c r="F60" s="151"/>
      <c r="G60" s="151"/>
      <c r="H60" s="125"/>
      <c r="I60" s="125"/>
      <c r="J60" s="18"/>
      <c r="K60" s="19"/>
      <c r="L60" s="13">
        <f t="shared" si="2"/>
        <v>0</v>
      </c>
    </row>
    <row r="61" spans="2:12" x14ac:dyDescent="0.35">
      <c r="B61" s="124"/>
      <c r="C61" s="125"/>
      <c r="D61" s="125"/>
      <c r="E61" s="20"/>
      <c r="F61" s="125"/>
      <c r="G61" s="125"/>
      <c r="H61" s="125"/>
      <c r="I61" s="125"/>
      <c r="J61" s="16"/>
      <c r="K61" s="17"/>
      <c r="L61" s="13">
        <f t="shared" si="2"/>
        <v>0</v>
      </c>
    </row>
    <row r="62" spans="2:12" x14ac:dyDescent="0.35">
      <c r="B62" s="124"/>
      <c r="C62" s="125"/>
      <c r="D62" s="125"/>
      <c r="E62" s="20"/>
      <c r="F62" s="125"/>
      <c r="G62" s="125"/>
      <c r="H62" s="125"/>
      <c r="I62" s="125"/>
      <c r="J62" s="16"/>
      <c r="K62" s="17"/>
      <c r="L62" s="13">
        <f t="shared" si="2"/>
        <v>0</v>
      </c>
    </row>
    <row r="63" spans="2:12" x14ac:dyDescent="0.35">
      <c r="B63" s="124"/>
      <c r="C63" s="125"/>
      <c r="D63" s="125"/>
      <c r="E63" s="20"/>
      <c r="F63" s="125"/>
      <c r="G63" s="125"/>
      <c r="H63" s="125"/>
      <c r="I63" s="125"/>
      <c r="J63" s="16"/>
      <c r="K63" s="17"/>
      <c r="L63" s="13">
        <f t="shared" si="2"/>
        <v>0</v>
      </c>
    </row>
    <row r="64" spans="2:12" x14ac:dyDescent="0.35">
      <c r="B64" s="124"/>
      <c r="C64" s="125"/>
      <c r="D64" s="125"/>
      <c r="E64" s="20"/>
      <c r="F64" s="125"/>
      <c r="G64" s="125"/>
      <c r="H64" s="125"/>
      <c r="I64" s="125"/>
      <c r="J64" s="16"/>
      <c r="K64" s="17"/>
      <c r="L64" s="13">
        <f t="shared" si="2"/>
        <v>0</v>
      </c>
    </row>
    <row r="65" spans="2:12" x14ac:dyDescent="0.35">
      <c r="B65" s="124"/>
      <c r="C65" s="125"/>
      <c r="D65" s="125"/>
      <c r="E65" s="20"/>
      <c r="F65" s="125"/>
      <c r="G65" s="125"/>
      <c r="H65" s="125"/>
      <c r="I65" s="125"/>
      <c r="J65" s="16"/>
      <c r="K65" s="17"/>
      <c r="L65" s="13">
        <f t="shared" si="2"/>
        <v>0</v>
      </c>
    </row>
    <row r="66" spans="2:12" x14ac:dyDescent="0.35">
      <c r="B66" s="124"/>
      <c r="C66" s="125"/>
      <c r="D66" s="125"/>
      <c r="E66" s="20"/>
      <c r="F66" s="125"/>
      <c r="G66" s="125"/>
      <c r="H66" s="125"/>
      <c r="I66" s="125"/>
      <c r="J66" s="16"/>
      <c r="K66" s="17"/>
      <c r="L66" s="13">
        <f t="shared" si="2"/>
        <v>0</v>
      </c>
    </row>
    <row r="67" spans="2:12" x14ac:dyDescent="0.35">
      <c r="B67" s="124"/>
      <c r="C67" s="125"/>
      <c r="D67" s="125"/>
      <c r="E67" s="20"/>
      <c r="F67" s="125"/>
      <c r="G67" s="125"/>
      <c r="H67" s="125"/>
      <c r="I67" s="125"/>
      <c r="J67" s="16"/>
      <c r="K67" s="17"/>
      <c r="L67" s="13">
        <f t="shared" si="2"/>
        <v>0</v>
      </c>
    </row>
    <row r="68" spans="2:12" x14ac:dyDescent="0.35">
      <c r="B68" s="124"/>
      <c r="C68" s="125"/>
      <c r="D68" s="125"/>
      <c r="E68" s="8"/>
      <c r="F68" s="125"/>
      <c r="G68" s="125"/>
      <c r="H68" s="125"/>
      <c r="I68" s="125"/>
      <c r="J68" s="16"/>
      <c r="K68" s="17"/>
      <c r="L68" s="13">
        <f t="shared" si="2"/>
        <v>0</v>
      </c>
    </row>
    <row r="69" spans="2:12" x14ac:dyDescent="0.35">
      <c r="B69" s="124"/>
      <c r="C69" s="125"/>
      <c r="D69" s="125"/>
      <c r="E69" s="8"/>
      <c r="F69" s="125"/>
      <c r="G69" s="125"/>
      <c r="H69" s="125"/>
      <c r="I69" s="125"/>
      <c r="J69" s="16"/>
      <c r="K69" s="17"/>
      <c r="L69" s="13">
        <f t="shared" si="2"/>
        <v>0</v>
      </c>
    </row>
    <row r="70" spans="2:12" x14ac:dyDescent="0.35">
      <c r="B70" s="124"/>
      <c r="C70" s="125"/>
      <c r="D70" s="125"/>
      <c r="E70" s="8"/>
      <c r="F70" s="125"/>
      <c r="G70" s="125"/>
      <c r="H70" s="125"/>
      <c r="I70" s="125"/>
      <c r="J70" s="16"/>
      <c r="K70" s="17"/>
      <c r="L70" s="13">
        <f t="shared" si="2"/>
        <v>0</v>
      </c>
    </row>
    <row r="71" spans="2:12" x14ac:dyDescent="0.35">
      <c r="B71" s="124"/>
      <c r="C71" s="125"/>
      <c r="D71" s="125"/>
      <c r="E71" s="8"/>
      <c r="F71" s="125"/>
      <c r="G71" s="125"/>
      <c r="H71" s="125"/>
      <c r="I71" s="125"/>
      <c r="J71" s="16"/>
      <c r="K71" s="17"/>
      <c r="L71" s="13">
        <f t="shared" si="2"/>
        <v>0</v>
      </c>
    </row>
    <row r="72" spans="2:12" x14ac:dyDescent="0.35">
      <c r="B72" s="124"/>
      <c r="C72" s="125"/>
      <c r="D72" s="125"/>
      <c r="E72" s="8"/>
      <c r="F72" s="125"/>
      <c r="G72" s="125"/>
      <c r="H72" s="125"/>
      <c r="I72" s="125"/>
      <c r="J72" s="16"/>
      <c r="K72" s="17"/>
      <c r="L72" s="13">
        <f t="shared" si="2"/>
        <v>0</v>
      </c>
    </row>
    <row r="73" spans="2:12" x14ac:dyDescent="0.35">
      <c r="B73" s="124"/>
      <c r="C73" s="125"/>
      <c r="D73" s="125"/>
      <c r="E73" s="8"/>
      <c r="F73" s="125"/>
      <c r="G73" s="125"/>
      <c r="H73" s="125"/>
      <c r="I73" s="125"/>
      <c r="J73" s="16"/>
      <c r="K73" s="17"/>
      <c r="L73" s="13">
        <f t="shared" si="2"/>
        <v>0</v>
      </c>
    </row>
    <row r="74" spans="2:12" x14ac:dyDescent="0.35">
      <c r="B74" s="124"/>
      <c r="C74" s="125"/>
      <c r="D74" s="125"/>
      <c r="E74" s="8"/>
      <c r="F74" s="125"/>
      <c r="G74" s="125"/>
      <c r="H74" s="125"/>
      <c r="I74" s="125"/>
      <c r="J74" s="21"/>
      <c r="K74" s="17"/>
      <c r="L74" s="13">
        <f t="shared" si="2"/>
        <v>0</v>
      </c>
    </row>
    <row r="75" spans="2:12" x14ac:dyDescent="0.35">
      <c r="B75" s="124"/>
      <c r="C75" s="125"/>
      <c r="D75" s="125"/>
      <c r="E75" s="8"/>
      <c r="F75" s="125"/>
      <c r="G75" s="125"/>
      <c r="H75" s="125"/>
      <c r="I75" s="125"/>
      <c r="J75" s="16"/>
      <c r="K75" s="22"/>
      <c r="L75" s="13">
        <f t="shared" si="2"/>
        <v>0</v>
      </c>
    </row>
    <row r="76" spans="2:12" x14ac:dyDescent="0.35">
      <c r="B76" s="124"/>
      <c r="C76" s="125"/>
      <c r="D76" s="125"/>
      <c r="E76" s="8"/>
      <c r="F76" s="125"/>
      <c r="G76" s="125"/>
      <c r="H76" s="125"/>
      <c r="I76" s="125"/>
      <c r="J76" s="16"/>
      <c r="K76" s="17"/>
      <c r="L76" s="13">
        <f t="shared" si="2"/>
        <v>0</v>
      </c>
    </row>
    <row r="77" spans="2:12" x14ac:dyDescent="0.35">
      <c r="B77" s="124"/>
      <c r="C77" s="125"/>
      <c r="D77" s="125"/>
      <c r="E77" s="8"/>
      <c r="F77" s="125"/>
      <c r="G77" s="125"/>
      <c r="H77" s="125"/>
      <c r="I77" s="125"/>
      <c r="J77" s="23"/>
      <c r="K77" s="22"/>
      <c r="L77" s="13">
        <f t="shared" si="2"/>
        <v>0</v>
      </c>
    </row>
    <row r="78" spans="2:12" x14ac:dyDescent="0.35">
      <c r="B78" s="124"/>
      <c r="C78" s="125"/>
      <c r="D78" s="125"/>
      <c r="E78" s="24"/>
      <c r="F78" s="125"/>
      <c r="G78" s="125"/>
      <c r="H78" s="125"/>
      <c r="I78" s="125"/>
      <c r="J78" s="16"/>
      <c r="K78" s="22"/>
      <c r="L78" s="13">
        <f t="shared" si="2"/>
        <v>0</v>
      </c>
    </row>
    <row r="79" spans="2:12" x14ac:dyDescent="0.35">
      <c r="B79" s="124"/>
      <c r="C79" s="125"/>
      <c r="D79" s="125"/>
      <c r="E79" s="8"/>
      <c r="F79" s="125"/>
      <c r="G79" s="125"/>
      <c r="H79" s="125"/>
      <c r="I79" s="125"/>
      <c r="J79" s="16"/>
      <c r="K79" s="17"/>
      <c r="L79" s="13">
        <f t="shared" si="2"/>
        <v>0</v>
      </c>
    </row>
    <row r="80" spans="2:12" x14ac:dyDescent="0.35">
      <c r="B80" s="124"/>
      <c r="C80" s="125"/>
      <c r="D80" s="125"/>
      <c r="E80" s="8"/>
      <c r="F80" s="125"/>
      <c r="G80" s="125"/>
      <c r="H80" s="125"/>
      <c r="I80" s="125"/>
      <c r="J80" s="16"/>
      <c r="K80" s="17"/>
      <c r="L80" s="13">
        <f t="shared" si="2"/>
        <v>0</v>
      </c>
    </row>
    <row r="81" spans="2:12" x14ac:dyDescent="0.35">
      <c r="B81" s="124"/>
      <c r="C81" s="125"/>
      <c r="D81" s="125"/>
      <c r="E81" s="8"/>
      <c r="F81" s="125"/>
      <c r="G81" s="125"/>
      <c r="H81" s="125"/>
      <c r="I81" s="125"/>
      <c r="J81" s="16"/>
      <c r="K81" s="22"/>
      <c r="L81" s="13">
        <f t="shared" si="2"/>
        <v>0</v>
      </c>
    </row>
    <row r="82" spans="2:12" x14ac:dyDescent="0.35">
      <c r="B82" s="124"/>
      <c r="C82" s="125"/>
      <c r="D82" s="125"/>
      <c r="E82" s="8"/>
      <c r="F82" s="125"/>
      <c r="G82" s="125"/>
      <c r="H82" s="125"/>
      <c r="I82" s="125"/>
      <c r="J82" s="16"/>
      <c r="K82" s="17"/>
      <c r="L82" s="13">
        <f t="shared" si="2"/>
        <v>0</v>
      </c>
    </row>
    <row r="83" spans="2:12" ht="15" thickBot="1" x14ac:dyDescent="0.4">
      <c r="B83" s="154"/>
      <c r="C83" s="155"/>
      <c r="D83" s="155"/>
      <c r="E83" s="25"/>
      <c r="F83" s="155"/>
      <c r="G83" s="155"/>
      <c r="H83" s="155"/>
      <c r="I83" s="155"/>
      <c r="J83" s="26"/>
      <c r="K83" s="27"/>
      <c r="L83" s="28">
        <f t="shared" si="2"/>
        <v>0</v>
      </c>
    </row>
    <row r="84" spans="2:12" ht="15" thickBot="1" x14ac:dyDescent="0.4">
      <c r="B84" s="152"/>
      <c r="C84" s="152"/>
      <c r="D84" s="152"/>
      <c r="F84" s="153" t="s">
        <v>15</v>
      </c>
      <c r="G84" s="153"/>
      <c r="H84" s="153"/>
      <c r="I84" s="153"/>
      <c r="J84" s="153"/>
      <c r="K84" s="42">
        <f>SUM(K56:K83)</f>
        <v>0</v>
      </c>
      <c r="L84" s="7">
        <f>SUM(L56:L83)</f>
        <v>0</v>
      </c>
    </row>
    <row r="86" spans="2:12" x14ac:dyDescent="0.35">
      <c r="J86" s="1"/>
      <c r="K86" s="1">
        <f>+J86/20*12.25</f>
        <v>0</v>
      </c>
      <c r="L86" s="3"/>
    </row>
  </sheetData>
  <mergeCells count="150">
    <mergeCell ref="B50:L52"/>
    <mergeCell ref="B49:L49"/>
    <mergeCell ref="B16:F16"/>
    <mergeCell ref="B56:D56"/>
    <mergeCell ref="B57:D57"/>
    <mergeCell ref="B58:D58"/>
    <mergeCell ref="B59:D59"/>
    <mergeCell ref="I40:L40"/>
    <mergeCell ref="C37:E37"/>
    <mergeCell ref="C38:E38"/>
    <mergeCell ref="C39:E39"/>
    <mergeCell ref="C41:E41"/>
    <mergeCell ref="C17:E17"/>
    <mergeCell ref="B40:E40"/>
    <mergeCell ref="B42:E42"/>
    <mergeCell ref="C36:E36"/>
    <mergeCell ref="B54:D55"/>
    <mergeCell ref="H56:I56"/>
    <mergeCell ref="H57:I57"/>
    <mergeCell ref="H58:I58"/>
    <mergeCell ref="H59:I59"/>
    <mergeCell ref="J54:J55"/>
    <mergeCell ref="K54:K55"/>
    <mergeCell ref="F56:G56"/>
    <mergeCell ref="B1:L1"/>
    <mergeCell ref="B10:F10"/>
    <mergeCell ref="B11:F13"/>
    <mergeCell ref="G10:I10"/>
    <mergeCell ref="G11:I13"/>
    <mergeCell ref="L54:L55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60:I60"/>
    <mergeCell ref="H61:I61"/>
    <mergeCell ref="H62:I62"/>
    <mergeCell ref="H63:I63"/>
    <mergeCell ref="B84:D84"/>
    <mergeCell ref="B81:D81"/>
    <mergeCell ref="B82:D82"/>
    <mergeCell ref="B83:D83"/>
    <mergeCell ref="F84:J84"/>
    <mergeCell ref="F83:G83"/>
    <mergeCell ref="F81:G81"/>
    <mergeCell ref="F82:G82"/>
    <mergeCell ref="F79:G79"/>
    <mergeCell ref="F80:G80"/>
    <mergeCell ref="B80:D80"/>
    <mergeCell ref="B79:D79"/>
    <mergeCell ref="H82:I82"/>
    <mergeCell ref="H83:I83"/>
    <mergeCell ref="F76:G76"/>
    <mergeCell ref="F77:G77"/>
    <mergeCell ref="F78:G78"/>
    <mergeCell ref="B70:D70"/>
    <mergeCell ref="F71:G71"/>
    <mergeCell ref="F72:G72"/>
    <mergeCell ref="B65:D65"/>
    <mergeCell ref="F73:G73"/>
    <mergeCell ref="F74:G74"/>
    <mergeCell ref="F75:G75"/>
    <mergeCell ref="B76:D76"/>
    <mergeCell ref="B77:D77"/>
    <mergeCell ref="B78:D78"/>
    <mergeCell ref="B71:D71"/>
    <mergeCell ref="B72:D72"/>
    <mergeCell ref="B73:D73"/>
    <mergeCell ref="B74:D74"/>
    <mergeCell ref="B75:D75"/>
    <mergeCell ref="B27:B33"/>
    <mergeCell ref="H54:I55"/>
    <mergeCell ref="E54:E55"/>
    <mergeCell ref="B2:F9"/>
    <mergeCell ref="F61:G61"/>
    <mergeCell ref="B61:D61"/>
    <mergeCell ref="F70:G70"/>
    <mergeCell ref="F58:G58"/>
    <mergeCell ref="F59:G59"/>
    <mergeCell ref="F64:G64"/>
    <mergeCell ref="F65:G65"/>
    <mergeCell ref="F67:G67"/>
    <mergeCell ref="F68:G68"/>
    <mergeCell ref="F69:G69"/>
    <mergeCell ref="B66:D66"/>
    <mergeCell ref="B67:D67"/>
    <mergeCell ref="B68:D68"/>
    <mergeCell ref="B69:D69"/>
    <mergeCell ref="F62:G62"/>
    <mergeCell ref="F63:G63"/>
    <mergeCell ref="F66:G66"/>
    <mergeCell ref="B62:D62"/>
    <mergeCell ref="B63:D63"/>
    <mergeCell ref="B64:D64"/>
    <mergeCell ref="K47:L48"/>
    <mergeCell ref="G6:J7"/>
    <mergeCell ref="G4:J5"/>
    <mergeCell ref="G2:J3"/>
    <mergeCell ref="B60:D60"/>
    <mergeCell ref="F54:G55"/>
    <mergeCell ref="B53:L53"/>
    <mergeCell ref="G8:J9"/>
    <mergeCell ref="K8:L9"/>
    <mergeCell ref="F57:G57"/>
    <mergeCell ref="F60:G60"/>
    <mergeCell ref="K2:L3"/>
    <mergeCell ref="K4:L5"/>
    <mergeCell ref="K6:L7"/>
    <mergeCell ref="J10:L10"/>
    <mergeCell ref="J11:L13"/>
    <mergeCell ref="K14:L15"/>
    <mergeCell ref="B14:J15"/>
    <mergeCell ref="K45:L46"/>
    <mergeCell ref="K43:L44"/>
    <mergeCell ref="B43:J44"/>
    <mergeCell ref="B45:J46"/>
    <mergeCell ref="B47:J48"/>
    <mergeCell ref="B22:B26"/>
  </mergeCells>
  <pageMargins left="0" right="0" top="0" bottom="0" header="0" footer="0"/>
  <pageSetup paperSize="8"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FF9CC-01DC-45EB-ACDC-ED579F477C78}">
  <sheetPr>
    <pageSetUpPr fitToPage="1"/>
  </sheetPr>
  <dimension ref="B1:L87"/>
  <sheetViews>
    <sheetView tabSelected="1" workbookViewId="0">
      <selection activeCell="O8" sqref="O8"/>
    </sheetView>
  </sheetViews>
  <sheetFormatPr defaultRowHeight="14.5" x14ac:dyDescent="0.35"/>
  <cols>
    <col min="1" max="1" width="0.7265625" customWidth="1"/>
    <col min="2" max="2" width="7.54296875" customWidth="1"/>
    <col min="3" max="3" width="9.26953125" customWidth="1"/>
    <col min="4" max="4" width="4.7265625" customWidth="1"/>
    <col min="5" max="6" width="17.7265625" customWidth="1"/>
    <col min="7" max="9" width="15.7265625" customWidth="1"/>
    <col min="10" max="10" width="16.54296875" customWidth="1"/>
    <col min="11" max="11" width="14.7265625" customWidth="1"/>
    <col min="12" max="12" width="14.7265625" style="2" customWidth="1"/>
  </cols>
  <sheetData>
    <row r="1" spans="2:12" ht="26.5" thickBot="1" x14ac:dyDescent="0.4">
      <c r="B1" s="59" t="s">
        <v>14</v>
      </c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2:12" ht="15" customHeight="1" thickBot="1" x14ac:dyDescent="0.4">
      <c r="B2" s="62"/>
      <c r="C2" s="63"/>
      <c r="D2" s="63"/>
      <c r="E2" s="63"/>
      <c r="F2" s="64"/>
      <c r="G2" s="71" t="s">
        <v>16</v>
      </c>
      <c r="H2" s="72"/>
      <c r="I2" s="72"/>
      <c r="J2" s="72"/>
      <c r="K2" s="73"/>
      <c r="L2" s="74"/>
    </row>
    <row r="3" spans="2:12" ht="15" customHeight="1" thickBot="1" x14ac:dyDescent="0.4">
      <c r="B3" s="65"/>
      <c r="C3" s="66"/>
      <c r="D3" s="66"/>
      <c r="E3" s="66"/>
      <c r="F3" s="67"/>
      <c r="G3" s="71"/>
      <c r="H3" s="72"/>
      <c r="I3" s="72"/>
      <c r="J3" s="72"/>
      <c r="K3" s="73"/>
      <c r="L3" s="74"/>
    </row>
    <row r="4" spans="2:12" ht="16.5" customHeight="1" thickBot="1" x14ac:dyDescent="0.4">
      <c r="B4" s="65"/>
      <c r="C4" s="66"/>
      <c r="D4" s="66"/>
      <c r="E4" s="66"/>
      <c r="F4" s="67"/>
      <c r="G4" s="75" t="s">
        <v>12</v>
      </c>
      <c r="H4" s="76"/>
      <c r="I4" s="76"/>
      <c r="J4" s="76"/>
      <c r="K4" s="77"/>
      <c r="L4" s="78"/>
    </row>
    <row r="5" spans="2:12" ht="15" customHeight="1" thickBot="1" x14ac:dyDescent="0.4">
      <c r="B5" s="65"/>
      <c r="C5" s="66"/>
      <c r="D5" s="66"/>
      <c r="E5" s="66"/>
      <c r="F5" s="67"/>
      <c r="G5" s="75"/>
      <c r="H5" s="76"/>
      <c r="I5" s="76"/>
      <c r="J5" s="76"/>
      <c r="K5" s="77"/>
      <c r="L5" s="78"/>
    </row>
    <row r="6" spans="2:12" ht="16.5" customHeight="1" thickBot="1" x14ac:dyDescent="0.4">
      <c r="B6" s="65"/>
      <c r="C6" s="66"/>
      <c r="D6" s="66"/>
      <c r="E6" s="66"/>
      <c r="F6" s="67"/>
      <c r="G6" s="79" t="s">
        <v>18</v>
      </c>
      <c r="H6" s="80"/>
      <c r="I6" s="80"/>
      <c r="J6" s="80"/>
      <c r="K6" s="81"/>
      <c r="L6" s="82"/>
    </row>
    <row r="7" spans="2:12" ht="15" customHeight="1" thickBot="1" x14ac:dyDescent="0.4">
      <c r="B7" s="65"/>
      <c r="C7" s="66"/>
      <c r="D7" s="66"/>
      <c r="E7" s="66"/>
      <c r="F7" s="67"/>
      <c r="G7" s="79"/>
      <c r="H7" s="80"/>
      <c r="I7" s="80"/>
      <c r="J7" s="80"/>
      <c r="K7" s="81"/>
      <c r="L7" s="82"/>
    </row>
    <row r="8" spans="2:12" ht="16.5" customHeight="1" thickBot="1" x14ac:dyDescent="0.4">
      <c r="B8" s="65"/>
      <c r="C8" s="66"/>
      <c r="D8" s="66"/>
      <c r="E8" s="66"/>
      <c r="F8" s="67"/>
      <c r="G8" s="79" t="s">
        <v>19</v>
      </c>
      <c r="H8" s="80"/>
      <c r="I8" s="80"/>
      <c r="J8" s="80"/>
      <c r="K8" s="83"/>
      <c r="L8" s="84"/>
    </row>
    <row r="9" spans="2:12" ht="15" customHeight="1" thickBot="1" x14ac:dyDescent="0.4">
      <c r="B9" s="68"/>
      <c r="C9" s="69"/>
      <c r="D9" s="69"/>
      <c r="E9" s="69"/>
      <c r="F9" s="70"/>
      <c r="G9" s="79"/>
      <c r="H9" s="80"/>
      <c r="I9" s="80"/>
      <c r="J9" s="80"/>
      <c r="K9" s="83"/>
      <c r="L9" s="84"/>
    </row>
    <row r="10" spans="2:12" ht="16.5" customHeight="1" thickBot="1" x14ac:dyDescent="0.4">
      <c r="B10" s="97" t="s">
        <v>4</v>
      </c>
      <c r="C10" s="97"/>
      <c r="D10" s="97"/>
      <c r="E10" s="97"/>
      <c r="F10" s="97"/>
      <c r="G10" s="97" t="s">
        <v>48</v>
      </c>
      <c r="H10" s="97"/>
      <c r="I10" s="97"/>
      <c r="J10" s="97" t="s">
        <v>5</v>
      </c>
      <c r="K10" s="97"/>
      <c r="L10" s="97"/>
    </row>
    <row r="11" spans="2:12" ht="15" customHeight="1" x14ac:dyDescent="0.35">
      <c r="B11" s="98" t="s">
        <v>50</v>
      </c>
      <c r="C11" s="98"/>
      <c r="D11" s="98"/>
      <c r="E11" s="98"/>
      <c r="F11" s="98"/>
      <c r="G11" s="98" t="s">
        <v>49</v>
      </c>
      <c r="H11" s="98"/>
      <c r="I11" s="98"/>
      <c r="J11" s="101"/>
      <c r="K11" s="101"/>
      <c r="L11" s="101"/>
    </row>
    <row r="12" spans="2:12" ht="15.75" customHeight="1" x14ac:dyDescent="0.35">
      <c r="B12" s="99"/>
      <c r="C12" s="99"/>
      <c r="D12" s="99"/>
      <c r="E12" s="99"/>
      <c r="F12" s="99"/>
      <c r="G12" s="99"/>
      <c r="H12" s="99"/>
      <c r="I12" s="99"/>
      <c r="J12" s="102"/>
      <c r="K12" s="102"/>
      <c r="L12" s="102"/>
    </row>
    <row r="13" spans="2:12" ht="15" customHeight="1" thickBot="1" x14ac:dyDescent="0.4">
      <c r="B13" s="100"/>
      <c r="C13" s="100"/>
      <c r="D13" s="100"/>
      <c r="E13" s="100"/>
      <c r="F13" s="100"/>
      <c r="G13" s="100"/>
      <c r="H13" s="100"/>
      <c r="I13" s="100"/>
      <c r="J13" s="103"/>
      <c r="K13" s="103"/>
      <c r="L13" s="103"/>
    </row>
    <row r="14" spans="2:12" ht="15.75" customHeight="1" x14ac:dyDescent="0.35">
      <c r="B14" s="85" t="s">
        <v>2</v>
      </c>
      <c r="C14" s="86"/>
      <c r="D14" s="86"/>
      <c r="E14" s="86"/>
      <c r="F14" s="86"/>
      <c r="G14" s="86"/>
      <c r="H14" s="86"/>
      <c r="I14" s="86"/>
      <c r="J14" s="86"/>
      <c r="K14" s="89">
        <f>+K4</f>
        <v>0</v>
      </c>
      <c r="L14" s="90"/>
    </row>
    <row r="15" spans="2:12" ht="15" customHeight="1" thickBot="1" x14ac:dyDescent="0.4">
      <c r="B15" s="87"/>
      <c r="C15" s="88"/>
      <c r="D15" s="88"/>
      <c r="E15" s="88"/>
      <c r="F15" s="88"/>
      <c r="G15" s="88"/>
      <c r="H15" s="88"/>
      <c r="I15" s="88"/>
      <c r="J15" s="88"/>
      <c r="K15" s="91"/>
      <c r="L15" s="92"/>
    </row>
    <row r="16" spans="2:12" ht="15.5" x14ac:dyDescent="0.35">
      <c r="B16" s="93" t="s">
        <v>6</v>
      </c>
      <c r="C16" s="94"/>
      <c r="D16" s="94"/>
      <c r="E16" s="94"/>
      <c r="F16" s="94"/>
      <c r="G16" s="45">
        <f>+L85</f>
        <v>52.5</v>
      </c>
      <c r="H16" s="46" t="s">
        <v>8</v>
      </c>
      <c r="I16" s="47" t="e">
        <f>+G16/K14</f>
        <v>#DIV/0!</v>
      </c>
      <c r="J16" s="46" t="s">
        <v>56</v>
      </c>
      <c r="K16" s="48" t="e">
        <f>SUM(J43:K43)/K14</f>
        <v>#DIV/0!</v>
      </c>
      <c r="L16" s="49"/>
    </row>
    <row r="17" spans="2:12" ht="15" customHeight="1" x14ac:dyDescent="0.35">
      <c r="B17" s="35"/>
      <c r="C17" s="95"/>
      <c r="D17" s="95"/>
      <c r="E17" s="95"/>
      <c r="F17" s="36" t="s">
        <v>46</v>
      </c>
      <c r="G17" s="36" t="s">
        <v>21</v>
      </c>
      <c r="H17" s="36" t="s">
        <v>45</v>
      </c>
      <c r="I17" s="36" t="s">
        <v>22</v>
      </c>
      <c r="J17" s="36" t="s">
        <v>43</v>
      </c>
      <c r="K17" s="36" t="s">
        <v>44</v>
      </c>
      <c r="L17" s="37" t="s">
        <v>55</v>
      </c>
    </row>
    <row r="18" spans="2:12" ht="15" customHeight="1" x14ac:dyDescent="0.35">
      <c r="B18" s="35"/>
      <c r="C18" s="96" t="s">
        <v>25</v>
      </c>
      <c r="D18" s="96"/>
      <c r="E18" s="96"/>
      <c r="F18" s="38"/>
      <c r="G18" s="30">
        <v>35</v>
      </c>
      <c r="H18" s="39"/>
      <c r="I18" s="30">
        <v>52.5</v>
      </c>
      <c r="J18" s="30">
        <f>F18*G18</f>
        <v>0</v>
      </c>
      <c r="K18" s="30">
        <f>H18*I18</f>
        <v>0</v>
      </c>
      <c r="L18" s="40" t="e">
        <f>SUM(J18:K18)/K14</f>
        <v>#DIV/0!</v>
      </c>
    </row>
    <row r="19" spans="2:12" ht="15" customHeight="1" x14ac:dyDescent="0.35">
      <c r="B19" s="35"/>
      <c r="C19" s="96" t="s">
        <v>26</v>
      </c>
      <c r="D19" s="96"/>
      <c r="E19" s="96"/>
      <c r="F19" s="38"/>
      <c r="G19" s="30">
        <v>30</v>
      </c>
      <c r="H19" s="39"/>
      <c r="I19" s="30">
        <v>45</v>
      </c>
      <c r="J19" s="30">
        <f t="shared" ref="J19:J40" si="0">F19*G19</f>
        <v>0</v>
      </c>
      <c r="K19" s="30">
        <f t="shared" ref="K19:K42" si="1">H19*I19</f>
        <v>0</v>
      </c>
      <c r="L19" s="40" t="e">
        <f>SUM(J19:K19)/K14</f>
        <v>#DIV/0!</v>
      </c>
    </row>
    <row r="20" spans="2:12" ht="15" customHeight="1" x14ac:dyDescent="0.35">
      <c r="B20" s="35"/>
      <c r="C20" s="96" t="s">
        <v>27</v>
      </c>
      <c r="D20" s="96"/>
      <c r="E20" s="96"/>
      <c r="F20" s="38"/>
      <c r="G20" s="30">
        <v>30</v>
      </c>
      <c r="H20" s="39"/>
      <c r="I20" s="30">
        <v>45</v>
      </c>
      <c r="J20" s="30">
        <f t="shared" si="0"/>
        <v>0</v>
      </c>
      <c r="K20" s="30">
        <f t="shared" si="1"/>
        <v>0</v>
      </c>
      <c r="L20" s="40" t="e">
        <f>SUM(J20:K20)/K14</f>
        <v>#DIV/0!</v>
      </c>
    </row>
    <row r="21" spans="2:12" ht="15" customHeight="1" x14ac:dyDescent="0.35">
      <c r="B21" s="35"/>
      <c r="C21" s="96" t="s">
        <v>17</v>
      </c>
      <c r="D21" s="96"/>
      <c r="E21" s="96"/>
      <c r="F21" s="38">
        <v>4</v>
      </c>
      <c r="G21" s="30">
        <v>26</v>
      </c>
      <c r="H21" s="39"/>
      <c r="I21" s="30">
        <v>39</v>
      </c>
      <c r="J21" s="30">
        <f t="shared" si="0"/>
        <v>104</v>
      </c>
      <c r="K21" s="30">
        <f t="shared" si="1"/>
        <v>0</v>
      </c>
      <c r="L21" s="40" t="e">
        <f>SUM(J21:K21)/K14</f>
        <v>#DIV/0!</v>
      </c>
    </row>
    <row r="22" spans="2:12" ht="15" customHeight="1" x14ac:dyDescent="0.35">
      <c r="B22" s="104" t="s">
        <v>23</v>
      </c>
      <c r="C22" s="96" t="s">
        <v>28</v>
      </c>
      <c r="D22" s="96"/>
      <c r="E22" s="96"/>
      <c r="F22" s="38"/>
      <c r="G22" s="30">
        <v>33</v>
      </c>
      <c r="H22" s="39"/>
      <c r="I22" s="30">
        <v>49.5</v>
      </c>
      <c r="J22" s="30">
        <f t="shared" si="0"/>
        <v>0</v>
      </c>
      <c r="K22" s="30">
        <f t="shared" si="1"/>
        <v>0</v>
      </c>
      <c r="L22" s="40" t="e">
        <f>SUM(J22:K22)/K14</f>
        <v>#DIV/0!</v>
      </c>
    </row>
    <row r="23" spans="2:12" ht="15" customHeight="1" x14ac:dyDescent="0.35">
      <c r="B23" s="104"/>
      <c r="C23" s="96" t="s">
        <v>29</v>
      </c>
      <c r="D23" s="96"/>
      <c r="E23" s="96"/>
      <c r="F23" s="38"/>
      <c r="G23" s="30">
        <v>33</v>
      </c>
      <c r="H23" s="39"/>
      <c r="I23" s="30">
        <v>49.5</v>
      </c>
      <c r="J23" s="30">
        <f t="shared" si="0"/>
        <v>0</v>
      </c>
      <c r="K23" s="30">
        <f>H23*I23</f>
        <v>0</v>
      </c>
      <c r="L23" s="40" t="e">
        <f>SUM(J23:K23)/K14</f>
        <v>#DIV/0!</v>
      </c>
    </row>
    <row r="24" spans="2:12" ht="15" customHeight="1" x14ac:dyDescent="0.35">
      <c r="B24" s="104"/>
      <c r="C24" s="96" t="s">
        <v>30</v>
      </c>
      <c r="D24" s="96"/>
      <c r="E24" s="96"/>
      <c r="F24" s="38"/>
      <c r="G24" s="30">
        <v>33</v>
      </c>
      <c r="H24" s="39"/>
      <c r="I24" s="30">
        <v>49.5</v>
      </c>
      <c r="J24" s="30">
        <f t="shared" si="0"/>
        <v>0</v>
      </c>
      <c r="K24" s="30">
        <f t="shared" si="1"/>
        <v>0</v>
      </c>
      <c r="L24" s="40" t="e">
        <f>SUM(J24:K24)/K14</f>
        <v>#DIV/0!</v>
      </c>
    </row>
    <row r="25" spans="2:12" ht="15" customHeight="1" x14ac:dyDescent="0.35">
      <c r="B25" s="104"/>
      <c r="C25" s="96" t="s">
        <v>31</v>
      </c>
      <c r="D25" s="96"/>
      <c r="E25" s="96"/>
      <c r="F25" s="38"/>
      <c r="G25" s="30">
        <v>33</v>
      </c>
      <c r="H25" s="39"/>
      <c r="I25" s="30">
        <v>49.5</v>
      </c>
      <c r="J25" s="30">
        <f t="shared" si="0"/>
        <v>0</v>
      </c>
      <c r="K25" s="30">
        <f t="shared" si="1"/>
        <v>0</v>
      </c>
      <c r="L25" s="40" t="e">
        <f>SUM(J25:K25)/K14</f>
        <v>#DIV/0!</v>
      </c>
    </row>
    <row r="26" spans="2:12" ht="15" customHeight="1" x14ac:dyDescent="0.35">
      <c r="B26" s="104"/>
      <c r="C26" s="96" t="s">
        <v>32</v>
      </c>
      <c r="D26" s="96"/>
      <c r="E26" s="96"/>
      <c r="F26" s="38"/>
      <c r="G26" s="30">
        <v>33</v>
      </c>
      <c r="H26" s="39"/>
      <c r="I26" s="30">
        <v>49.5</v>
      </c>
      <c r="J26" s="30">
        <f t="shared" si="0"/>
        <v>0</v>
      </c>
      <c r="K26" s="30">
        <f t="shared" si="1"/>
        <v>0</v>
      </c>
      <c r="L26" s="40" t="e">
        <f>SUM(J26:K26)/K14</f>
        <v>#DIV/0!</v>
      </c>
    </row>
    <row r="27" spans="2:12" ht="15" customHeight="1" x14ac:dyDescent="0.35">
      <c r="B27" s="104" t="s">
        <v>24</v>
      </c>
      <c r="C27" s="96" t="s">
        <v>33</v>
      </c>
      <c r="D27" s="96"/>
      <c r="E27" s="96"/>
      <c r="F27" s="38"/>
      <c r="G27" s="30">
        <v>47.5</v>
      </c>
      <c r="H27" s="39"/>
      <c r="I27" s="30">
        <v>71.25</v>
      </c>
      <c r="J27" s="30">
        <f t="shared" si="0"/>
        <v>0</v>
      </c>
      <c r="K27" s="30">
        <f t="shared" si="1"/>
        <v>0</v>
      </c>
      <c r="L27" s="40" t="e">
        <f>SUM(J27:K27)/K14</f>
        <v>#DIV/0!</v>
      </c>
    </row>
    <row r="28" spans="2:12" ht="15" customHeight="1" x14ac:dyDescent="0.35">
      <c r="B28" s="104"/>
      <c r="C28" s="96" t="s">
        <v>34</v>
      </c>
      <c r="D28" s="96"/>
      <c r="E28" s="96"/>
      <c r="F28" s="38"/>
      <c r="G28" s="30">
        <v>26</v>
      </c>
      <c r="H28" s="39"/>
      <c r="I28" s="30">
        <v>39</v>
      </c>
      <c r="J28" s="30">
        <f t="shared" si="0"/>
        <v>0</v>
      </c>
      <c r="K28" s="30">
        <f t="shared" si="1"/>
        <v>0</v>
      </c>
      <c r="L28" s="40" t="e">
        <f>SUM(J28:K28)/K14</f>
        <v>#DIV/0!</v>
      </c>
    </row>
    <row r="29" spans="2:12" ht="15" customHeight="1" x14ac:dyDescent="0.35">
      <c r="B29" s="104"/>
      <c r="C29" s="96" t="s">
        <v>35</v>
      </c>
      <c r="D29" s="96"/>
      <c r="E29" s="96"/>
      <c r="F29" s="38"/>
      <c r="G29" s="30">
        <v>35.5</v>
      </c>
      <c r="H29" s="39"/>
      <c r="I29" s="30">
        <v>53.25</v>
      </c>
      <c r="J29" s="30">
        <f t="shared" si="0"/>
        <v>0</v>
      </c>
      <c r="K29" s="30">
        <f t="shared" si="1"/>
        <v>0</v>
      </c>
      <c r="L29" s="40" t="e">
        <f>SUM(J29:K29)/K14</f>
        <v>#DIV/0!</v>
      </c>
    </row>
    <row r="30" spans="2:12" ht="15" customHeight="1" x14ac:dyDescent="0.35">
      <c r="B30" s="104"/>
      <c r="C30" s="96" t="s">
        <v>29</v>
      </c>
      <c r="D30" s="96"/>
      <c r="E30" s="96"/>
      <c r="F30" s="38"/>
      <c r="G30" s="30">
        <v>49.5</v>
      </c>
      <c r="H30" s="39"/>
      <c r="I30" s="30">
        <v>74.25</v>
      </c>
      <c r="J30" s="30">
        <f t="shared" si="0"/>
        <v>0</v>
      </c>
      <c r="K30" s="30">
        <f t="shared" si="1"/>
        <v>0</v>
      </c>
      <c r="L30" s="40" t="e">
        <f>SUM(J30:K30)/K14</f>
        <v>#DIV/0!</v>
      </c>
    </row>
    <row r="31" spans="2:12" ht="15" customHeight="1" x14ac:dyDescent="0.35">
      <c r="B31" s="104"/>
      <c r="C31" s="96" t="s">
        <v>30</v>
      </c>
      <c r="D31" s="96"/>
      <c r="E31" s="96"/>
      <c r="F31" s="38"/>
      <c r="G31" s="30">
        <v>45</v>
      </c>
      <c r="H31" s="39"/>
      <c r="I31" s="30">
        <v>67.5</v>
      </c>
      <c r="J31" s="30">
        <f t="shared" si="0"/>
        <v>0</v>
      </c>
      <c r="K31" s="30">
        <f t="shared" si="1"/>
        <v>0</v>
      </c>
      <c r="L31" s="40" t="e">
        <f>SUM(J31:K31)/K14</f>
        <v>#DIV/0!</v>
      </c>
    </row>
    <row r="32" spans="2:12" ht="15" customHeight="1" x14ac:dyDescent="0.35">
      <c r="B32" s="104"/>
      <c r="C32" s="96" t="s">
        <v>36</v>
      </c>
      <c r="D32" s="96"/>
      <c r="E32" s="96"/>
      <c r="F32" s="38"/>
      <c r="G32" s="30">
        <v>48.5</v>
      </c>
      <c r="H32" s="39"/>
      <c r="I32" s="30">
        <v>72.75</v>
      </c>
      <c r="J32" s="30">
        <f t="shared" si="0"/>
        <v>0</v>
      </c>
      <c r="K32" s="30">
        <f t="shared" si="1"/>
        <v>0</v>
      </c>
      <c r="L32" s="40" t="e">
        <f>SUM(J32:K32)/K14</f>
        <v>#DIV/0!</v>
      </c>
    </row>
    <row r="33" spans="2:12" ht="15" customHeight="1" x14ac:dyDescent="0.35">
      <c r="B33" s="104"/>
      <c r="C33" s="96" t="s">
        <v>32</v>
      </c>
      <c r="D33" s="96"/>
      <c r="E33" s="96"/>
      <c r="F33" s="38"/>
      <c r="G33" s="30">
        <v>48.5</v>
      </c>
      <c r="H33" s="39"/>
      <c r="I33" s="30">
        <v>72.75</v>
      </c>
      <c r="J33" s="30">
        <f t="shared" si="0"/>
        <v>0</v>
      </c>
      <c r="K33" s="30">
        <f t="shared" si="1"/>
        <v>0</v>
      </c>
      <c r="L33" s="40" t="e">
        <f>SUM(J33:K33)/K14</f>
        <v>#DIV/0!</v>
      </c>
    </row>
    <row r="34" spans="2:12" ht="15" customHeight="1" x14ac:dyDescent="0.35">
      <c r="B34" s="35"/>
      <c r="C34" s="96" t="s">
        <v>37</v>
      </c>
      <c r="D34" s="96"/>
      <c r="E34" s="96"/>
      <c r="F34" s="38"/>
      <c r="G34" s="30">
        <v>31</v>
      </c>
      <c r="H34" s="39"/>
      <c r="I34" s="30">
        <v>46.5</v>
      </c>
      <c r="J34" s="30">
        <f t="shared" si="0"/>
        <v>0</v>
      </c>
      <c r="K34" s="30">
        <f t="shared" si="1"/>
        <v>0</v>
      </c>
      <c r="L34" s="40" t="e">
        <f>SUM(J34:K34)/K14</f>
        <v>#DIV/0!</v>
      </c>
    </row>
    <row r="35" spans="2:12" ht="15" customHeight="1" x14ac:dyDescent="0.35">
      <c r="B35" s="35"/>
      <c r="C35" s="96" t="s">
        <v>38</v>
      </c>
      <c r="D35" s="96"/>
      <c r="E35" s="96"/>
      <c r="F35" s="38"/>
      <c r="G35" s="30">
        <v>31</v>
      </c>
      <c r="H35" s="39"/>
      <c r="I35" s="30">
        <v>46.5</v>
      </c>
      <c r="J35" s="30">
        <f t="shared" si="0"/>
        <v>0</v>
      </c>
      <c r="K35" s="30">
        <f t="shared" si="1"/>
        <v>0</v>
      </c>
      <c r="L35" s="40" t="e">
        <f>SUM(J35:K35)/K14</f>
        <v>#DIV/0!</v>
      </c>
    </row>
    <row r="36" spans="2:12" ht="15" customHeight="1" x14ac:dyDescent="0.35">
      <c r="B36" s="35"/>
      <c r="C36" s="96" t="s">
        <v>39</v>
      </c>
      <c r="D36" s="96"/>
      <c r="E36" s="96"/>
      <c r="F36" s="38"/>
      <c r="G36" s="30">
        <v>33</v>
      </c>
      <c r="H36" s="39"/>
      <c r="I36" s="30">
        <v>49.5</v>
      </c>
      <c r="J36" s="30">
        <f t="shared" si="0"/>
        <v>0</v>
      </c>
      <c r="K36" s="30">
        <f t="shared" si="1"/>
        <v>0</v>
      </c>
      <c r="L36" s="40" t="e">
        <f>SUM(J36:K36)/K14</f>
        <v>#DIV/0!</v>
      </c>
    </row>
    <row r="37" spans="2:12" ht="15" customHeight="1" x14ac:dyDescent="0.35">
      <c r="B37" s="35"/>
      <c r="C37" s="96" t="s">
        <v>40</v>
      </c>
      <c r="D37" s="96"/>
      <c r="E37" s="96"/>
      <c r="F37" s="38"/>
      <c r="G37" s="30">
        <v>35.5</v>
      </c>
      <c r="H37" s="39"/>
      <c r="I37" s="30">
        <v>53.25</v>
      </c>
      <c r="J37" s="30">
        <f t="shared" si="0"/>
        <v>0</v>
      </c>
      <c r="K37" s="30">
        <f t="shared" si="1"/>
        <v>0</v>
      </c>
      <c r="L37" s="40" t="e">
        <f>SUM(J37:K37)/K14</f>
        <v>#DIV/0!</v>
      </c>
    </row>
    <row r="38" spans="2:12" ht="15" customHeight="1" x14ac:dyDescent="0.35">
      <c r="B38" s="35"/>
      <c r="C38" s="96" t="s">
        <v>20</v>
      </c>
      <c r="D38" s="96"/>
      <c r="E38" s="96"/>
      <c r="F38" s="38"/>
      <c r="G38" s="30">
        <v>35.5</v>
      </c>
      <c r="H38" s="39"/>
      <c r="I38" s="30">
        <v>53.25</v>
      </c>
      <c r="J38" s="30">
        <f t="shared" si="0"/>
        <v>0</v>
      </c>
      <c r="K38" s="30">
        <f t="shared" si="1"/>
        <v>0</v>
      </c>
      <c r="L38" s="40" t="e">
        <f>SUM(J38:K38)/K14</f>
        <v>#DIV/0!</v>
      </c>
    </row>
    <row r="39" spans="2:12" ht="15" customHeight="1" x14ac:dyDescent="0.35">
      <c r="B39" s="35"/>
      <c r="C39" s="96" t="s">
        <v>41</v>
      </c>
      <c r="D39" s="96"/>
      <c r="E39" s="96"/>
      <c r="F39" s="38"/>
      <c r="G39" s="30">
        <v>26</v>
      </c>
      <c r="H39" s="39"/>
      <c r="I39" s="30">
        <v>39</v>
      </c>
      <c r="J39" s="30">
        <f t="shared" si="0"/>
        <v>0</v>
      </c>
      <c r="K39" s="30">
        <f t="shared" si="1"/>
        <v>0</v>
      </c>
      <c r="L39" s="40" t="e">
        <f>SUM(J39:K39)/K14</f>
        <v>#DIV/0!</v>
      </c>
    </row>
    <row r="40" spans="2:12" ht="15" customHeight="1" x14ac:dyDescent="0.35">
      <c r="B40" s="35"/>
      <c r="C40" s="116" t="s">
        <v>59</v>
      </c>
      <c r="D40" s="117"/>
      <c r="E40" s="118"/>
      <c r="F40" s="38">
        <v>1</v>
      </c>
      <c r="G40" s="30">
        <v>20</v>
      </c>
      <c r="H40" s="39"/>
      <c r="I40" s="55">
        <v>40</v>
      </c>
      <c r="J40" s="56">
        <f t="shared" si="0"/>
        <v>20</v>
      </c>
      <c r="K40" s="56">
        <f t="shared" si="1"/>
        <v>0</v>
      </c>
      <c r="L40" s="40" t="e">
        <f>SUM(J40:K40)/K14</f>
        <v>#DIV/0!</v>
      </c>
    </row>
    <row r="41" spans="2:12" ht="15.5" x14ac:dyDescent="0.35">
      <c r="B41" s="105" t="s">
        <v>54</v>
      </c>
      <c r="C41" s="106"/>
      <c r="D41" s="106"/>
      <c r="E41" s="106"/>
      <c r="F41" s="44">
        <f>SUM(F18:F40)</f>
        <v>5</v>
      </c>
      <c r="G41" s="43"/>
      <c r="H41" s="44">
        <f>SUM(H18:H39)</f>
        <v>0</v>
      </c>
      <c r="I41" s="107"/>
      <c r="J41" s="108"/>
      <c r="K41" s="108"/>
      <c r="L41" s="109"/>
    </row>
    <row r="42" spans="2:12" ht="15.5" x14ac:dyDescent="0.35">
      <c r="B42" s="35"/>
      <c r="C42" s="96" t="s">
        <v>42</v>
      </c>
      <c r="D42" s="96"/>
      <c r="E42" s="96"/>
      <c r="F42" s="39"/>
      <c r="G42" s="30">
        <v>45</v>
      </c>
      <c r="H42" s="39"/>
      <c r="I42" s="30">
        <v>67.5</v>
      </c>
      <c r="J42" s="29">
        <f>+F42*G42</f>
        <v>0</v>
      </c>
      <c r="K42" s="30">
        <f t="shared" si="1"/>
        <v>0</v>
      </c>
      <c r="L42" s="40" t="e">
        <f>SUM(J42:K42)/K14</f>
        <v>#DIV/0!</v>
      </c>
    </row>
    <row r="43" spans="2:12" ht="16" thickBot="1" x14ac:dyDescent="0.4">
      <c r="B43" s="110" t="s">
        <v>11</v>
      </c>
      <c r="C43" s="111"/>
      <c r="D43" s="111"/>
      <c r="E43" s="111"/>
      <c r="F43" s="50">
        <f>F42</f>
        <v>0</v>
      </c>
      <c r="G43" s="51"/>
      <c r="H43" s="50">
        <f>H42</f>
        <v>0</v>
      </c>
      <c r="I43" s="51"/>
      <c r="J43" s="52">
        <f>SUM(J18:J42)</f>
        <v>124</v>
      </c>
      <c r="K43" s="53">
        <f>SUM(K18:K42)</f>
        <v>0</v>
      </c>
      <c r="L43" s="54" t="e">
        <f>SUM(J43:K43)/K14</f>
        <v>#DIV/0!</v>
      </c>
    </row>
    <row r="44" spans="2:12" ht="15.75" customHeight="1" x14ac:dyDescent="0.35">
      <c r="B44" s="85" t="s">
        <v>3</v>
      </c>
      <c r="C44" s="86"/>
      <c r="D44" s="86"/>
      <c r="E44" s="86"/>
      <c r="F44" s="86"/>
      <c r="G44" s="86"/>
      <c r="H44" s="86"/>
      <c r="I44" s="86"/>
      <c r="J44" s="86"/>
      <c r="K44" s="89">
        <f>+G16+K43+J43</f>
        <v>176.5</v>
      </c>
      <c r="L44" s="90"/>
    </row>
    <row r="45" spans="2:12" ht="15" customHeight="1" x14ac:dyDescent="0.35">
      <c r="B45" s="112"/>
      <c r="C45" s="113"/>
      <c r="D45" s="113"/>
      <c r="E45" s="113"/>
      <c r="F45" s="113"/>
      <c r="G45" s="113"/>
      <c r="H45" s="113"/>
      <c r="I45" s="113"/>
      <c r="J45" s="113"/>
      <c r="K45" s="114"/>
      <c r="L45" s="115"/>
    </row>
    <row r="46" spans="2:12" ht="15.75" customHeight="1" x14ac:dyDescent="0.35">
      <c r="B46" s="112" t="s">
        <v>10</v>
      </c>
      <c r="C46" s="113"/>
      <c r="D46" s="113"/>
      <c r="E46" s="113"/>
      <c r="F46" s="113"/>
      <c r="G46" s="113"/>
      <c r="H46" s="113"/>
      <c r="I46" s="113"/>
      <c r="J46" s="113"/>
      <c r="K46" s="133">
        <f>+K14-K44</f>
        <v>-176.5</v>
      </c>
      <c r="L46" s="134"/>
    </row>
    <row r="47" spans="2:12" ht="15" customHeight="1" x14ac:dyDescent="0.35">
      <c r="B47" s="112"/>
      <c r="C47" s="113"/>
      <c r="D47" s="113"/>
      <c r="E47" s="113"/>
      <c r="F47" s="113"/>
      <c r="G47" s="113"/>
      <c r="H47" s="113"/>
      <c r="I47" s="113"/>
      <c r="J47" s="113"/>
      <c r="K47" s="133"/>
      <c r="L47" s="134"/>
    </row>
    <row r="48" spans="2:12" ht="15.75" customHeight="1" x14ac:dyDescent="0.35">
      <c r="B48" s="112" t="s">
        <v>9</v>
      </c>
      <c r="C48" s="113"/>
      <c r="D48" s="113"/>
      <c r="E48" s="113"/>
      <c r="F48" s="113"/>
      <c r="G48" s="113"/>
      <c r="H48" s="113"/>
      <c r="I48" s="113"/>
      <c r="J48" s="113"/>
      <c r="K48" s="135" t="e">
        <f>+K46/K14</f>
        <v>#DIV/0!</v>
      </c>
      <c r="L48" s="136"/>
    </row>
    <row r="49" spans="2:12" ht="15.75" customHeight="1" thickBot="1" x14ac:dyDescent="0.4">
      <c r="B49" s="87"/>
      <c r="C49" s="88"/>
      <c r="D49" s="88"/>
      <c r="E49" s="88"/>
      <c r="F49" s="88"/>
      <c r="G49" s="88"/>
      <c r="H49" s="88"/>
      <c r="I49" s="88"/>
      <c r="J49" s="88"/>
      <c r="K49" s="137"/>
      <c r="L49" s="138"/>
    </row>
    <row r="50" spans="2:12" ht="16" thickBot="1" x14ac:dyDescent="0.4">
      <c r="B50" s="139" t="s">
        <v>7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1"/>
    </row>
    <row r="51" spans="2:12" ht="15" customHeight="1" x14ac:dyDescent="0.35">
      <c r="B51" s="142"/>
      <c r="C51" s="143"/>
      <c r="D51" s="143"/>
      <c r="E51" s="143"/>
      <c r="F51" s="143"/>
      <c r="G51" s="143"/>
      <c r="H51" s="143"/>
      <c r="I51" s="143"/>
      <c r="J51" s="143"/>
      <c r="K51" s="143"/>
      <c r="L51" s="144"/>
    </row>
    <row r="52" spans="2:12" ht="15" customHeight="1" x14ac:dyDescent="0.35">
      <c r="B52" s="142"/>
      <c r="C52" s="143"/>
      <c r="D52" s="143"/>
      <c r="E52" s="143"/>
      <c r="F52" s="143"/>
      <c r="G52" s="143"/>
      <c r="H52" s="143"/>
      <c r="I52" s="143"/>
      <c r="J52" s="143"/>
      <c r="K52" s="143"/>
      <c r="L52" s="144"/>
    </row>
    <row r="53" spans="2:12" ht="15" customHeight="1" thickBot="1" x14ac:dyDescent="0.4">
      <c r="B53" s="145"/>
      <c r="C53" s="146"/>
      <c r="D53" s="146"/>
      <c r="E53" s="146"/>
      <c r="F53" s="146"/>
      <c r="G53" s="146"/>
      <c r="H53" s="146"/>
      <c r="I53" s="146"/>
      <c r="J53" s="146"/>
      <c r="K53" s="146"/>
      <c r="L53" s="147"/>
    </row>
    <row r="54" spans="2:12" ht="22.5" customHeight="1" thickBot="1" x14ac:dyDescent="0.4">
      <c r="B54" s="119" t="s">
        <v>13</v>
      </c>
      <c r="C54" s="120"/>
      <c r="D54" s="120"/>
      <c r="E54" s="120"/>
      <c r="F54" s="120"/>
      <c r="G54" s="120"/>
      <c r="H54" s="120"/>
      <c r="I54" s="120"/>
      <c r="J54" s="120"/>
      <c r="K54" s="120"/>
      <c r="L54" s="121"/>
    </row>
    <row r="55" spans="2:12" ht="15" customHeight="1" x14ac:dyDescent="0.35">
      <c r="B55" s="122" t="s">
        <v>0</v>
      </c>
      <c r="C55" s="123"/>
      <c r="D55" s="123"/>
      <c r="E55" s="126" t="s">
        <v>52</v>
      </c>
      <c r="F55" s="126" t="s">
        <v>1</v>
      </c>
      <c r="G55" s="126"/>
      <c r="H55" s="126" t="s">
        <v>5</v>
      </c>
      <c r="I55" s="126"/>
      <c r="J55" s="128" t="s">
        <v>60</v>
      </c>
      <c r="K55" s="130" t="s">
        <v>61</v>
      </c>
      <c r="L55" s="131" t="s">
        <v>53</v>
      </c>
    </row>
    <row r="56" spans="2:12" ht="18" customHeight="1" x14ac:dyDescent="0.35">
      <c r="B56" s="124"/>
      <c r="C56" s="125"/>
      <c r="D56" s="125"/>
      <c r="E56" s="127"/>
      <c r="F56" s="127"/>
      <c r="G56" s="127"/>
      <c r="H56" s="127"/>
      <c r="I56" s="127"/>
      <c r="J56" s="129"/>
      <c r="K56" s="129"/>
      <c r="L56" s="132"/>
    </row>
    <row r="57" spans="2:12" x14ac:dyDescent="0.35">
      <c r="B57" s="148"/>
      <c r="C57" s="149"/>
      <c r="D57" s="149"/>
      <c r="E57" s="57">
        <v>1</v>
      </c>
      <c r="F57" s="149"/>
      <c r="G57" s="149"/>
      <c r="H57" s="125" t="s">
        <v>62</v>
      </c>
      <c r="I57" s="125"/>
      <c r="J57" s="8">
        <v>10</v>
      </c>
      <c r="K57" s="14">
        <f>E57*J57</f>
        <v>10</v>
      </c>
      <c r="L57" s="13">
        <f>K57*1.05</f>
        <v>10.5</v>
      </c>
    </row>
    <row r="58" spans="2:12" x14ac:dyDescent="0.35">
      <c r="B58" s="148"/>
      <c r="C58" s="149"/>
      <c r="D58" s="149"/>
      <c r="E58" s="57">
        <v>1</v>
      </c>
      <c r="F58" s="149"/>
      <c r="G58" s="149"/>
      <c r="H58" s="125" t="s">
        <v>63</v>
      </c>
      <c r="I58" s="125"/>
      <c r="J58" s="10">
        <v>15</v>
      </c>
      <c r="K58" s="14">
        <f t="shared" ref="K58:K84" si="2">E58*J58</f>
        <v>15</v>
      </c>
      <c r="L58" s="13">
        <f t="shared" ref="L58:L84" si="3">K58*1.05</f>
        <v>15.75</v>
      </c>
    </row>
    <row r="59" spans="2:12" x14ac:dyDescent="0.35">
      <c r="B59" s="148"/>
      <c r="C59" s="149"/>
      <c r="D59" s="149"/>
      <c r="E59" s="57">
        <v>1</v>
      </c>
      <c r="F59" s="125"/>
      <c r="G59" s="125"/>
      <c r="H59" s="125" t="s">
        <v>64</v>
      </c>
      <c r="I59" s="125"/>
      <c r="J59" s="16">
        <v>25</v>
      </c>
      <c r="K59" s="14">
        <f t="shared" si="2"/>
        <v>25</v>
      </c>
      <c r="L59" s="13">
        <f t="shared" si="3"/>
        <v>26.25</v>
      </c>
    </row>
    <row r="60" spans="2:12" x14ac:dyDescent="0.35">
      <c r="B60" s="148"/>
      <c r="C60" s="149"/>
      <c r="D60" s="149"/>
      <c r="E60" s="57"/>
      <c r="F60" s="125"/>
      <c r="G60" s="125"/>
      <c r="H60" s="125"/>
      <c r="I60" s="125"/>
      <c r="J60" s="16"/>
      <c r="K60" s="14">
        <f t="shared" si="2"/>
        <v>0</v>
      </c>
      <c r="L60" s="13">
        <f t="shared" si="3"/>
        <v>0</v>
      </c>
    </row>
    <row r="61" spans="2:12" x14ac:dyDescent="0.35">
      <c r="B61" s="124"/>
      <c r="C61" s="125"/>
      <c r="D61" s="125"/>
      <c r="E61" s="57"/>
      <c r="F61" s="151"/>
      <c r="G61" s="151"/>
      <c r="H61" s="125"/>
      <c r="I61" s="125"/>
      <c r="J61" s="18"/>
      <c r="K61" s="14">
        <f t="shared" si="2"/>
        <v>0</v>
      </c>
      <c r="L61" s="13">
        <f t="shared" si="3"/>
        <v>0</v>
      </c>
    </row>
    <row r="62" spans="2:12" x14ac:dyDescent="0.35">
      <c r="B62" s="124"/>
      <c r="C62" s="125"/>
      <c r="D62" s="125"/>
      <c r="E62" s="57"/>
      <c r="F62" s="125"/>
      <c r="G62" s="125"/>
      <c r="H62" s="125"/>
      <c r="I62" s="125"/>
      <c r="J62" s="16"/>
      <c r="K62" s="14">
        <f t="shared" si="2"/>
        <v>0</v>
      </c>
      <c r="L62" s="13">
        <f t="shared" si="3"/>
        <v>0</v>
      </c>
    </row>
    <row r="63" spans="2:12" x14ac:dyDescent="0.35">
      <c r="B63" s="124"/>
      <c r="C63" s="125"/>
      <c r="D63" s="125"/>
      <c r="E63" s="57"/>
      <c r="F63" s="150"/>
      <c r="G63" s="150"/>
      <c r="H63" s="125"/>
      <c r="I63" s="125"/>
      <c r="J63" s="16"/>
      <c r="K63" s="14">
        <f t="shared" si="2"/>
        <v>0</v>
      </c>
      <c r="L63" s="13">
        <f t="shared" si="3"/>
        <v>0</v>
      </c>
    </row>
    <row r="64" spans="2:12" x14ac:dyDescent="0.35">
      <c r="B64" s="124"/>
      <c r="C64" s="125"/>
      <c r="D64" s="125"/>
      <c r="E64" s="57"/>
      <c r="F64" s="125"/>
      <c r="G64" s="125"/>
      <c r="H64" s="125"/>
      <c r="I64" s="125"/>
      <c r="J64" s="16"/>
      <c r="K64" s="14">
        <f t="shared" si="2"/>
        <v>0</v>
      </c>
      <c r="L64" s="13">
        <f t="shared" si="3"/>
        <v>0</v>
      </c>
    </row>
    <row r="65" spans="2:12" x14ac:dyDescent="0.35">
      <c r="B65" s="124"/>
      <c r="C65" s="125"/>
      <c r="D65" s="125"/>
      <c r="E65" s="57"/>
      <c r="F65" s="125"/>
      <c r="G65" s="125"/>
      <c r="H65" s="125"/>
      <c r="I65" s="125"/>
      <c r="J65" s="16"/>
      <c r="K65" s="14">
        <f t="shared" si="2"/>
        <v>0</v>
      </c>
      <c r="L65" s="13">
        <f t="shared" si="3"/>
        <v>0</v>
      </c>
    </row>
    <row r="66" spans="2:12" x14ac:dyDescent="0.35">
      <c r="B66" s="124"/>
      <c r="C66" s="125"/>
      <c r="D66" s="125"/>
      <c r="E66" s="57"/>
      <c r="F66" s="125"/>
      <c r="G66" s="125"/>
      <c r="H66" s="125"/>
      <c r="I66" s="125"/>
      <c r="J66" s="16"/>
      <c r="K66" s="14">
        <f t="shared" si="2"/>
        <v>0</v>
      </c>
      <c r="L66" s="13">
        <f t="shared" si="3"/>
        <v>0</v>
      </c>
    </row>
    <row r="67" spans="2:12" x14ac:dyDescent="0.35">
      <c r="B67" s="124"/>
      <c r="C67" s="125"/>
      <c r="D67" s="125"/>
      <c r="E67" s="57"/>
      <c r="F67" s="125"/>
      <c r="G67" s="125"/>
      <c r="H67" s="125"/>
      <c r="I67" s="125"/>
      <c r="J67" s="16"/>
      <c r="K67" s="14">
        <f t="shared" si="2"/>
        <v>0</v>
      </c>
      <c r="L67" s="13">
        <f t="shared" si="3"/>
        <v>0</v>
      </c>
    </row>
    <row r="68" spans="2:12" x14ac:dyDescent="0.35">
      <c r="B68" s="124"/>
      <c r="C68" s="125"/>
      <c r="D68" s="125"/>
      <c r="E68" s="57"/>
      <c r="F68" s="125"/>
      <c r="G68" s="125"/>
      <c r="H68" s="125"/>
      <c r="I68" s="125"/>
      <c r="J68" s="16"/>
      <c r="K68" s="14">
        <f t="shared" si="2"/>
        <v>0</v>
      </c>
      <c r="L68" s="13">
        <f t="shared" si="3"/>
        <v>0</v>
      </c>
    </row>
    <row r="69" spans="2:12" x14ac:dyDescent="0.35">
      <c r="B69" s="124"/>
      <c r="C69" s="125"/>
      <c r="D69" s="125"/>
      <c r="E69" s="57"/>
      <c r="F69" s="125"/>
      <c r="G69" s="125"/>
      <c r="H69" s="125"/>
      <c r="I69" s="125"/>
      <c r="J69" s="16"/>
      <c r="K69" s="14">
        <f t="shared" si="2"/>
        <v>0</v>
      </c>
      <c r="L69" s="13">
        <f t="shared" si="3"/>
        <v>0</v>
      </c>
    </row>
    <row r="70" spans="2:12" x14ac:dyDescent="0.35">
      <c r="B70" s="124"/>
      <c r="C70" s="125"/>
      <c r="D70" s="125"/>
      <c r="E70" s="57"/>
      <c r="F70" s="125"/>
      <c r="G70" s="125"/>
      <c r="H70" s="125"/>
      <c r="I70" s="125"/>
      <c r="J70" s="16"/>
      <c r="K70" s="14">
        <f t="shared" si="2"/>
        <v>0</v>
      </c>
      <c r="L70" s="13">
        <f t="shared" si="3"/>
        <v>0</v>
      </c>
    </row>
    <row r="71" spans="2:12" x14ac:dyDescent="0.35">
      <c r="B71" s="124"/>
      <c r="C71" s="125"/>
      <c r="D71" s="125"/>
      <c r="E71" s="57"/>
      <c r="F71" s="125"/>
      <c r="G71" s="125"/>
      <c r="H71" s="125"/>
      <c r="I71" s="125"/>
      <c r="J71" s="16"/>
      <c r="K71" s="14">
        <f t="shared" si="2"/>
        <v>0</v>
      </c>
      <c r="L71" s="13">
        <f t="shared" si="3"/>
        <v>0</v>
      </c>
    </row>
    <row r="72" spans="2:12" x14ac:dyDescent="0.35">
      <c r="B72" s="124"/>
      <c r="C72" s="125"/>
      <c r="D72" s="125"/>
      <c r="E72" s="57"/>
      <c r="F72" s="125"/>
      <c r="G72" s="125"/>
      <c r="H72" s="125"/>
      <c r="I72" s="125"/>
      <c r="J72" s="16"/>
      <c r="K72" s="14">
        <f t="shared" si="2"/>
        <v>0</v>
      </c>
      <c r="L72" s="13">
        <f t="shared" si="3"/>
        <v>0</v>
      </c>
    </row>
    <row r="73" spans="2:12" x14ac:dyDescent="0.35">
      <c r="B73" s="124"/>
      <c r="C73" s="125"/>
      <c r="D73" s="125"/>
      <c r="E73" s="57"/>
      <c r="F73" s="125"/>
      <c r="G73" s="125"/>
      <c r="H73" s="125"/>
      <c r="I73" s="125"/>
      <c r="J73" s="16"/>
      <c r="K73" s="14">
        <f t="shared" si="2"/>
        <v>0</v>
      </c>
      <c r="L73" s="13">
        <f t="shared" si="3"/>
        <v>0</v>
      </c>
    </row>
    <row r="74" spans="2:12" x14ac:dyDescent="0.35">
      <c r="B74" s="124"/>
      <c r="C74" s="125"/>
      <c r="D74" s="125"/>
      <c r="E74" s="57"/>
      <c r="F74" s="125"/>
      <c r="G74" s="125"/>
      <c r="H74" s="125"/>
      <c r="I74" s="125"/>
      <c r="J74" s="16"/>
      <c r="K74" s="14">
        <f t="shared" si="2"/>
        <v>0</v>
      </c>
      <c r="L74" s="13">
        <f t="shared" si="3"/>
        <v>0</v>
      </c>
    </row>
    <row r="75" spans="2:12" x14ac:dyDescent="0.35">
      <c r="B75" s="124"/>
      <c r="C75" s="125"/>
      <c r="D75" s="125"/>
      <c r="E75" s="57"/>
      <c r="F75" s="125"/>
      <c r="G75" s="125"/>
      <c r="H75" s="125"/>
      <c r="I75" s="125"/>
      <c r="J75" s="21"/>
      <c r="K75" s="14">
        <f t="shared" si="2"/>
        <v>0</v>
      </c>
      <c r="L75" s="13">
        <f t="shared" si="3"/>
        <v>0</v>
      </c>
    </row>
    <row r="76" spans="2:12" x14ac:dyDescent="0.35">
      <c r="B76" s="124"/>
      <c r="C76" s="125"/>
      <c r="D76" s="125"/>
      <c r="E76" s="57"/>
      <c r="F76" s="125"/>
      <c r="G76" s="125"/>
      <c r="H76" s="125"/>
      <c r="I76" s="125"/>
      <c r="J76" s="16"/>
      <c r="K76" s="14">
        <f t="shared" si="2"/>
        <v>0</v>
      </c>
      <c r="L76" s="13">
        <f t="shared" si="3"/>
        <v>0</v>
      </c>
    </row>
    <row r="77" spans="2:12" x14ac:dyDescent="0.35">
      <c r="B77" s="124"/>
      <c r="C77" s="125"/>
      <c r="D77" s="125"/>
      <c r="E77" s="57"/>
      <c r="F77" s="125"/>
      <c r="G77" s="125"/>
      <c r="H77" s="125"/>
      <c r="I77" s="125"/>
      <c r="J77" s="16"/>
      <c r="K77" s="14">
        <f t="shared" si="2"/>
        <v>0</v>
      </c>
      <c r="L77" s="13">
        <f t="shared" si="3"/>
        <v>0</v>
      </c>
    </row>
    <row r="78" spans="2:12" x14ac:dyDescent="0.35">
      <c r="B78" s="124"/>
      <c r="C78" s="125"/>
      <c r="D78" s="125"/>
      <c r="E78" s="57"/>
      <c r="F78" s="125"/>
      <c r="G78" s="125"/>
      <c r="H78" s="125"/>
      <c r="I78" s="125"/>
      <c r="J78" s="23"/>
      <c r="K78" s="14">
        <f t="shared" si="2"/>
        <v>0</v>
      </c>
      <c r="L78" s="13">
        <f t="shared" si="3"/>
        <v>0</v>
      </c>
    </row>
    <row r="79" spans="2:12" x14ac:dyDescent="0.35">
      <c r="B79" s="124"/>
      <c r="C79" s="125"/>
      <c r="D79" s="125"/>
      <c r="E79" s="57"/>
      <c r="F79" s="125"/>
      <c r="G79" s="125"/>
      <c r="H79" s="125"/>
      <c r="I79" s="125"/>
      <c r="J79" s="16"/>
      <c r="K79" s="14">
        <f t="shared" si="2"/>
        <v>0</v>
      </c>
      <c r="L79" s="13">
        <f t="shared" si="3"/>
        <v>0</v>
      </c>
    </row>
    <row r="80" spans="2:12" x14ac:dyDescent="0.35">
      <c r="B80" s="124"/>
      <c r="C80" s="125"/>
      <c r="D80" s="125"/>
      <c r="E80" s="57"/>
      <c r="F80" s="125"/>
      <c r="G80" s="125"/>
      <c r="H80" s="125"/>
      <c r="I80" s="125"/>
      <c r="J80" s="16"/>
      <c r="K80" s="14">
        <f t="shared" si="2"/>
        <v>0</v>
      </c>
      <c r="L80" s="13">
        <f t="shared" si="3"/>
        <v>0</v>
      </c>
    </row>
    <row r="81" spans="2:12" x14ac:dyDescent="0.35">
      <c r="B81" s="124"/>
      <c r="C81" s="125"/>
      <c r="D81" s="125"/>
      <c r="E81" s="57"/>
      <c r="F81" s="125"/>
      <c r="G81" s="125"/>
      <c r="H81" s="125"/>
      <c r="I81" s="125"/>
      <c r="J81" s="16"/>
      <c r="K81" s="14">
        <f t="shared" si="2"/>
        <v>0</v>
      </c>
      <c r="L81" s="13">
        <f t="shared" si="3"/>
        <v>0</v>
      </c>
    </row>
    <row r="82" spans="2:12" x14ac:dyDescent="0.35">
      <c r="B82" s="124"/>
      <c r="C82" s="125"/>
      <c r="D82" s="125"/>
      <c r="E82" s="57"/>
      <c r="F82" s="125"/>
      <c r="G82" s="125"/>
      <c r="H82" s="125"/>
      <c r="I82" s="125"/>
      <c r="J82" s="16"/>
      <c r="K82" s="14">
        <f t="shared" si="2"/>
        <v>0</v>
      </c>
      <c r="L82" s="13">
        <f t="shared" si="3"/>
        <v>0</v>
      </c>
    </row>
    <row r="83" spans="2:12" x14ac:dyDescent="0.35">
      <c r="B83" s="124"/>
      <c r="C83" s="125"/>
      <c r="D83" s="125"/>
      <c r="E83" s="57"/>
      <c r="F83" s="125"/>
      <c r="G83" s="125"/>
      <c r="H83" s="125"/>
      <c r="I83" s="125"/>
      <c r="J83" s="16"/>
      <c r="K83" s="14">
        <f t="shared" si="2"/>
        <v>0</v>
      </c>
      <c r="L83" s="13">
        <f t="shared" si="3"/>
        <v>0</v>
      </c>
    </row>
    <row r="84" spans="2:12" ht="15" thickBot="1" x14ac:dyDescent="0.4">
      <c r="B84" s="154"/>
      <c r="C84" s="155"/>
      <c r="D84" s="155"/>
      <c r="E84" s="58"/>
      <c r="F84" s="155"/>
      <c r="G84" s="155"/>
      <c r="H84" s="155"/>
      <c r="I84" s="155"/>
      <c r="J84" s="26"/>
      <c r="K84" s="14">
        <f t="shared" si="2"/>
        <v>0</v>
      </c>
      <c r="L84" s="28">
        <f t="shared" si="3"/>
        <v>0</v>
      </c>
    </row>
    <row r="85" spans="2:12" ht="15" thickBot="1" x14ac:dyDescent="0.4">
      <c r="B85" s="152"/>
      <c r="C85" s="152"/>
      <c r="D85" s="152"/>
      <c r="F85" s="153" t="s">
        <v>15</v>
      </c>
      <c r="G85" s="153"/>
      <c r="H85" s="153"/>
      <c r="I85" s="153"/>
      <c r="J85" s="153"/>
      <c r="K85" s="42">
        <f>SUM(K57:K84)</f>
        <v>50</v>
      </c>
      <c r="L85" s="7">
        <f>SUM(L57:L84)</f>
        <v>52.5</v>
      </c>
    </row>
    <row r="87" spans="2:12" x14ac:dyDescent="0.35">
      <c r="J87" s="1"/>
      <c r="K87" s="1">
        <f>+J87/20*12.25</f>
        <v>0</v>
      </c>
      <c r="L87" s="3"/>
    </row>
  </sheetData>
  <mergeCells count="151">
    <mergeCell ref="B85:D85"/>
    <mergeCell ref="F85:J85"/>
    <mergeCell ref="B83:D83"/>
    <mergeCell ref="F83:G83"/>
    <mergeCell ref="H83:I83"/>
    <mergeCell ref="B84:D84"/>
    <mergeCell ref="F84:G84"/>
    <mergeCell ref="H84:I84"/>
    <mergeCell ref="B81:D81"/>
    <mergeCell ref="F81:G81"/>
    <mergeCell ref="H81:I81"/>
    <mergeCell ref="B82:D82"/>
    <mergeCell ref="F82:G82"/>
    <mergeCell ref="H82:I82"/>
    <mergeCell ref="B79:D79"/>
    <mergeCell ref="F79:G79"/>
    <mergeCell ref="H79:I79"/>
    <mergeCell ref="B80:D80"/>
    <mergeCell ref="F80:G80"/>
    <mergeCell ref="H80:I80"/>
    <mergeCell ref="B77:D77"/>
    <mergeCell ref="F77:G77"/>
    <mergeCell ref="H77:I77"/>
    <mergeCell ref="B78:D78"/>
    <mergeCell ref="F78:G78"/>
    <mergeCell ref="H78:I78"/>
    <mergeCell ref="B75:D75"/>
    <mergeCell ref="F75:G75"/>
    <mergeCell ref="H75:I75"/>
    <mergeCell ref="B76:D76"/>
    <mergeCell ref="F76:G76"/>
    <mergeCell ref="H76:I76"/>
    <mergeCell ref="B73:D73"/>
    <mergeCell ref="F73:G73"/>
    <mergeCell ref="H73:I73"/>
    <mergeCell ref="B74:D74"/>
    <mergeCell ref="F74:G74"/>
    <mergeCell ref="H74:I74"/>
    <mergeCell ref="B71:D71"/>
    <mergeCell ref="F71:G71"/>
    <mergeCell ref="H71:I71"/>
    <mergeCell ref="B72:D72"/>
    <mergeCell ref="F72:G72"/>
    <mergeCell ref="H72:I72"/>
    <mergeCell ref="B69:D69"/>
    <mergeCell ref="F69:G69"/>
    <mergeCell ref="H69:I69"/>
    <mergeCell ref="B70:D70"/>
    <mergeCell ref="F70:G70"/>
    <mergeCell ref="H70:I70"/>
    <mergeCell ref="B67:D67"/>
    <mergeCell ref="F67:G67"/>
    <mergeCell ref="H67:I67"/>
    <mergeCell ref="B68:D68"/>
    <mergeCell ref="F68:G68"/>
    <mergeCell ref="H68:I68"/>
    <mergeCell ref="B65:D65"/>
    <mergeCell ref="F65:G65"/>
    <mergeCell ref="H65:I65"/>
    <mergeCell ref="B66:D66"/>
    <mergeCell ref="F66:G66"/>
    <mergeCell ref="H66:I66"/>
    <mergeCell ref="B63:D63"/>
    <mergeCell ref="F63:G63"/>
    <mergeCell ref="H63:I63"/>
    <mergeCell ref="B64:D64"/>
    <mergeCell ref="F64:G64"/>
    <mergeCell ref="H64:I64"/>
    <mergeCell ref="B61:D61"/>
    <mergeCell ref="F61:G61"/>
    <mergeCell ref="H61:I61"/>
    <mergeCell ref="B62:D62"/>
    <mergeCell ref="F62:G62"/>
    <mergeCell ref="H62:I62"/>
    <mergeCell ref="B59:D59"/>
    <mergeCell ref="F59:G59"/>
    <mergeCell ref="H59:I59"/>
    <mergeCell ref="B60:D60"/>
    <mergeCell ref="F60:G60"/>
    <mergeCell ref="H60:I60"/>
    <mergeCell ref="B57:D57"/>
    <mergeCell ref="F57:G57"/>
    <mergeCell ref="H57:I57"/>
    <mergeCell ref="B58:D58"/>
    <mergeCell ref="F58:G58"/>
    <mergeCell ref="H58:I58"/>
    <mergeCell ref="B54:L54"/>
    <mergeCell ref="B55:D56"/>
    <mergeCell ref="E55:E56"/>
    <mergeCell ref="F55:G56"/>
    <mergeCell ref="H55:I56"/>
    <mergeCell ref="J55:J56"/>
    <mergeCell ref="K55:K56"/>
    <mergeCell ref="L55:L56"/>
    <mergeCell ref="B46:J47"/>
    <mergeCell ref="K46:L47"/>
    <mergeCell ref="B48:J49"/>
    <mergeCell ref="K48:L49"/>
    <mergeCell ref="B50:L50"/>
    <mergeCell ref="B51:L53"/>
    <mergeCell ref="B41:E41"/>
    <mergeCell ref="I41:L41"/>
    <mergeCell ref="C42:E42"/>
    <mergeCell ref="B43:E43"/>
    <mergeCell ref="B44:J45"/>
    <mergeCell ref="K44:L45"/>
    <mergeCell ref="C34:E34"/>
    <mergeCell ref="C35:E35"/>
    <mergeCell ref="C36:E36"/>
    <mergeCell ref="C37:E37"/>
    <mergeCell ref="C38:E38"/>
    <mergeCell ref="C39:E39"/>
    <mergeCell ref="C40:E40"/>
    <mergeCell ref="B27:B33"/>
    <mergeCell ref="C27:E27"/>
    <mergeCell ref="C28:E28"/>
    <mergeCell ref="C29:E29"/>
    <mergeCell ref="C30:E30"/>
    <mergeCell ref="C31:E31"/>
    <mergeCell ref="C32:E32"/>
    <mergeCell ref="C33:E33"/>
    <mergeCell ref="C20:E20"/>
    <mergeCell ref="C21:E21"/>
    <mergeCell ref="B22:B26"/>
    <mergeCell ref="C22:E22"/>
    <mergeCell ref="C23:E23"/>
    <mergeCell ref="C24:E24"/>
    <mergeCell ref="C25:E25"/>
    <mergeCell ref="C26:E26"/>
    <mergeCell ref="B14:J15"/>
    <mergeCell ref="K14:L15"/>
    <mergeCell ref="B16:F16"/>
    <mergeCell ref="C17:E17"/>
    <mergeCell ref="C18:E18"/>
    <mergeCell ref="C19:E19"/>
    <mergeCell ref="B10:F10"/>
    <mergeCell ref="G10:I10"/>
    <mergeCell ref="J10:L10"/>
    <mergeCell ref="B11:F13"/>
    <mergeCell ref="G11:I13"/>
    <mergeCell ref="J11:L13"/>
    <mergeCell ref="B1:L1"/>
    <mergeCell ref="B2:F9"/>
    <mergeCell ref="G2:J3"/>
    <mergeCell ref="K2:L3"/>
    <mergeCell ref="G4:J5"/>
    <mergeCell ref="K4:L5"/>
    <mergeCell ref="G6:J7"/>
    <mergeCell ref="K6:L7"/>
    <mergeCell ref="G8:J9"/>
    <mergeCell ref="K8:L9"/>
  </mergeCells>
  <dataValidations count="2">
    <dataValidation type="list" allowBlank="1" showInputMessage="1" showErrorMessage="1" sqref="B11:F13" xr:uid="{98C22211-0622-4376-AC28-157DAE9C59A6}">
      <formula1>"Rolls Royce, SMW, IESA, RS Systems, NHS, Cromwell Tools, ITP Aero, Aero Fabs, Elf, Quill International, Siemens Energy, Napier Turbochargers, Towne, Bell Engineering, Martin Baker Aerospace"</formula1>
    </dataValidation>
    <dataValidation type="list" allowBlank="1" showInputMessage="1" showErrorMessage="1" sqref="G11:I13" xr:uid="{59603AEE-8FD5-49D2-9BB4-5DDBEF495336}">
      <formula1>"Annesley, Bristol, Derby, Fleet Support, Hucknall, Washington, Blyth, Lincoln, Raynesway"</formula1>
    </dataValidation>
  </dataValidations>
  <pageMargins left="0" right="0" top="0" bottom="0" header="0" footer="0"/>
  <pageSetup paperSize="9" scale="6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EAE870516E344BA94C95097E771262" ma:contentTypeVersion="18" ma:contentTypeDescription="Create a new document." ma:contentTypeScope="" ma:versionID="be96c721b8c6d4e5e45a41f3dc512b67">
  <xsd:schema xmlns:xsd="http://www.w3.org/2001/XMLSchema" xmlns:xs="http://www.w3.org/2001/XMLSchema" xmlns:p="http://schemas.microsoft.com/office/2006/metadata/properties" xmlns:ns2="a778ca42-d181-477f-9e74-12d5195e536f" xmlns:ns3="404da956-1eef-4c16-a695-4558c26fa02a" targetNamespace="http://schemas.microsoft.com/office/2006/metadata/properties" ma:root="true" ma:fieldsID="9ab0dd53e026af199f20c1611966fbb2" ns2:_="" ns3:_="">
    <xsd:import namespace="a778ca42-d181-477f-9e74-12d5195e536f"/>
    <xsd:import namespace="404da956-1eef-4c16-a695-4558c26fa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8ca42-d181-477f-9e74-12d5195e53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678dc1-a74e-4666-bb62-217ce248f9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da956-1eef-4c16-a695-4558c26fa02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98fa0a-45b5-4a52-aa4c-0a05869da053}" ma:internalName="TaxCatchAll" ma:showField="CatchAllData" ma:web="404da956-1eef-4c16-a695-4558c26fa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4da956-1eef-4c16-a695-4558c26fa02a" xsi:nil="true"/>
    <lcf76f155ced4ddcb4097134ff3c332f xmlns="a778ca42-d181-477f-9e74-12d5195e536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B66A44-8266-425E-B5A4-C4CF1A793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78ca42-d181-477f-9e74-12d5195e536f"/>
    <ds:schemaRef ds:uri="404da956-1eef-4c16-a695-4558c26fa0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19E5F4-173B-4220-B726-493545C1FA6F}">
  <ds:schemaRefs>
    <ds:schemaRef ds:uri="http://schemas.microsoft.com/office/2006/metadata/properties"/>
    <ds:schemaRef ds:uri="http://schemas.microsoft.com/office/infopath/2007/PartnerControls"/>
    <ds:schemaRef ds:uri="404da956-1eef-4c16-a695-4558c26fa02a"/>
    <ds:schemaRef ds:uri="a778ca42-d181-477f-9e74-12d5195e536f"/>
  </ds:schemaRefs>
</ds:datastoreItem>
</file>

<file path=customXml/itemProps3.xml><?xml version="1.0" encoding="utf-8"?>
<ds:datastoreItem xmlns:ds="http://schemas.openxmlformats.org/officeDocument/2006/customXml" ds:itemID="{89D4A15D-1B40-4659-9B45-014842B87E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Example</vt:lpstr>
      <vt:lpstr>Cost</vt:lpstr>
      <vt:lpstr>Cost!Print_Area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Lee</dc:creator>
  <cp:lastModifiedBy>Simon Lee</cp:lastModifiedBy>
  <cp:lastPrinted>2024-04-16T07:00:49Z</cp:lastPrinted>
  <dcterms:created xsi:type="dcterms:W3CDTF">2012-05-16T14:12:39Z</dcterms:created>
  <dcterms:modified xsi:type="dcterms:W3CDTF">2026-09-07T10:41:29Z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0x010100EFEAE870516E344BA94C95097E771262</vt:lpwstr>
  </property>
  <property fmtid="{D5CDD505-2E9C-101B-9397-08002B2CF9AE}" pid="3" name="MediaServiceImageTags">
    <vt:lpwstr/>
  </property>
</Properties>
</file>